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rade\OneDrive\Desktop\서버 데이터\"/>
    </mc:Choice>
  </mc:AlternateContent>
  <xr:revisionPtr revIDLastSave="0" documentId="13_ncr:1_{0511A2D4-06F4-4071-8B62-35A34C028EE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📊 대시보드" sheetId="1" r:id="rId1"/>
    <sheet name="📈 월별·사유별 추이" sheetId="2" r:id="rId2"/>
    <sheet name="🏭 센터별 분석" sheetId="3" r:id="rId3"/>
    <sheet name="📅 일별 추이" sheetId="4" r:id="rId4"/>
    <sheet name="⚙️ 사유 관리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<sst xmlns="http://schemas.openxmlformats.org/spreadsheetml/2006/main" count="311" uniqueCount="195">
  <si>
    <t>회송 현황 대시보드</t>
  </si>
  <si>
    <r>
      <rPr>
        <sz val="10"/>
        <color rgb="FF7F7F7F"/>
        <rFont val="DejaVu Sans"/>
        <family val="2"/>
      </rPr>
      <t>집계 기간</t>
    </r>
    <r>
      <rPr>
        <sz val="10"/>
        <color rgb="FF7F7F7F"/>
        <rFont val="맑은 고딕"/>
        <charset val="1"/>
      </rPr>
      <t xml:space="preserve">: 2025-12 ~ 2026-02  |  </t>
    </r>
    <r>
      <rPr>
        <sz val="10"/>
        <color rgb="FF7F7F7F"/>
        <rFont val="DejaVu Sans"/>
        <family val="2"/>
      </rPr>
      <t>데이터 기준</t>
    </r>
    <r>
      <rPr>
        <sz val="10"/>
        <color rgb="FF7F7F7F"/>
        <rFont val="맑은 고딕"/>
        <charset val="1"/>
      </rPr>
      <t xml:space="preserve">: </t>
    </r>
    <r>
      <rPr>
        <sz val="10"/>
        <color rgb="FF7F7F7F"/>
        <rFont val="DejaVu Sans"/>
        <family val="2"/>
      </rPr>
      <t>작업자 직접 입력 회송 기록</t>
    </r>
  </si>
  <si>
    <t>총 회송 건수</t>
  </si>
  <si>
    <t>총 수량</t>
  </si>
  <si>
    <t>총 금액</t>
  </si>
  <si>
    <t>활성 사유 수</t>
  </si>
  <si>
    <t>집계 센터 수</t>
  </si>
  <si>
    <r>
      <rPr>
        <b/>
        <sz val="16"/>
        <color rgb="FFFFFFFF"/>
        <rFont val="맑은 고딕"/>
        <charset val="1"/>
      </rPr>
      <t>935</t>
    </r>
    <r>
      <rPr>
        <b/>
        <sz val="16"/>
        <color rgb="FFFFFFFF"/>
        <rFont val="DejaVu Sans"/>
        <family val="2"/>
      </rPr>
      <t>건</t>
    </r>
  </si>
  <si>
    <r>
      <rPr>
        <b/>
        <sz val="16"/>
        <color rgb="FFFFFFFF"/>
        <rFont val="맑은 고딕"/>
        <charset val="1"/>
      </rPr>
      <t>2,522</t>
    </r>
    <r>
      <rPr>
        <b/>
        <sz val="16"/>
        <color rgb="FFFFFFFF"/>
        <rFont val="DejaVu Sans"/>
        <family val="2"/>
      </rPr>
      <t>개</t>
    </r>
  </si>
  <si>
    <t>₩3,719,097</t>
  </si>
  <si>
    <r>
      <rPr>
        <b/>
        <sz val="16"/>
        <color rgb="FFFFFFFF"/>
        <rFont val="맑은 고딕"/>
        <charset val="1"/>
      </rPr>
      <t>14</t>
    </r>
    <r>
      <rPr>
        <b/>
        <sz val="16"/>
        <color rgb="FFFFFFFF"/>
        <rFont val="DejaVu Sans"/>
        <family val="2"/>
      </rPr>
      <t>개</t>
    </r>
  </si>
  <si>
    <r>
      <rPr>
        <b/>
        <sz val="16"/>
        <color rgb="FFFFFFFF"/>
        <rFont val="맑은 고딕"/>
        <charset val="1"/>
      </rPr>
      <t>38</t>
    </r>
    <r>
      <rPr>
        <b/>
        <sz val="16"/>
        <color rgb="FFFFFFFF"/>
        <rFont val="DejaVu Sans"/>
        <family val="2"/>
      </rPr>
      <t>곳</t>
    </r>
  </si>
  <si>
    <t>회송 사유별 요약</t>
  </si>
  <si>
    <t>회송 사유</t>
  </si>
  <si>
    <r>
      <rPr>
        <b/>
        <sz val="9"/>
        <color rgb="FFFFFFFF"/>
        <rFont val="맑은 고딕"/>
        <charset val="1"/>
      </rPr>
      <t>12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</si>
  <si>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맑은 고딕"/>
        <charset val="1"/>
      </rPr>
      <t>1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</si>
  <si>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맑은 고딕"/>
        <charset val="1"/>
      </rPr>
      <t>2</t>
    </r>
    <r>
      <rPr>
        <b/>
        <sz val="9"/>
        <color rgb="FFFFFFFF"/>
        <rFont val="DejaVu Sans"/>
        <family val="2"/>
      </rPr>
      <t>월</t>
    </r>
  </si>
  <si>
    <t>총 건수</t>
  </si>
  <si>
    <r>
      <rPr>
        <b/>
        <sz val="9"/>
        <color rgb="FFFFFFFF"/>
        <rFont val="DejaVu Sans"/>
        <family val="2"/>
      </rPr>
      <t>비중</t>
    </r>
    <r>
      <rPr>
        <b/>
        <sz val="9"/>
        <color rgb="FFFFFFFF"/>
        <rFont val="맑은 고딕"/>
        <charset val="1"/>
      </rPr>
      <t>(%)</t>
    </r>
  </si>
  <si>
    <r>
      <rPr>
        <b/>
        <sz val="9"/>
        <color rgb="FFFFFFFF"/>
        <rFont val="DejaVu Sans"/>
        <family val="2"/>
      </rPr>
      <t>총 금액</t>
    </r>
    <r>
      <rPr>
        <b/>
        <sz val="9"/>
        <color rgb="FFFFFFFF"/>
        <rFont val="맑은 고딕"/>
        <charset val="1"/>
      </rPr>
      <t>(</t>
    </r>
    <r>
      <rPr>
        <b/>
        <sz val="9"/>
        <color rgb="FFFFFFFF"/>
        <rFont val="DejaVu Sans"/>
        <family val="2"/>
      </rPr>
      <t>원</t>
    </r>
    <r>
      <rPr>
        <b/>
        <sz val="9"/>
        <color rgb="FFFFFFFF"/>
        <rFont val="맑은 고딕"/>
        <charset val="1"/>
      </rPr>
      <t>)</t>
    </r>
  </si>
  <si>
    <t>전월 대비</t>
  </si>
  <si>
    <t>추세</t>
  </si>
  <si>
    <t>과착</t>
  </si>
  <si>
    <t>-79%</t>
  </si>
  <si>
    <t>▼ 감소</t>
  </si>
  <si>
    <t>입고예정일 미준수</t>
  </si>
  <si>
    <t>+175%</t>
  </si>
  <si>
    <t>▲ 증가</t>
  </si>
  <si>
    <t>상품 정보 오류</t>
  </si>
  <si>
    <t>+27%</t>
  </si>
  <si>
    <t>오착</t>
  </si>
  <si>
    <t>-24%</t>
  </si>
  <si>
    <t>파손</t>
  </si>
  <si>
    <t>+35%</t>
  </si>
  <si>
    <t>택배 오류</t>
  </si>
  <si>
    <t>+5%</t>
  </si>
  <si>
    <t>기타</t>
  </si>
  <si>
    <t>-56%</t>
  </si>
  <si>
    <t>송장 바코드 오류</t>
  </si>
  <si>
    <t>-80%</t>
  </si>
  <si>
    <t>바코드 오류</t>
  </si>
  <si>
    <t>-57%</t>
  </si>
  <si>
    <t>센터 오입고</t>
  </si>
  <si>
    <t>-50%</t>
  </si>
  <si>
    <r>
      <rPr>
        <b/>
        <sz val="10"/>
        <color rgb="FF000000"/>
        <rFont val="DejaVu Sans"/>
        <family val="2"/>
      </rPr>
      <t>송장</t>
    </r>
    <r>
      <rPr>
        <b/>
        <sz val="10"/>
        <color rgb="FF000000"/>
        <rFont val="맑은 고딕"/>
        <charset val="1"/>
      </rPr>
      <t>/</t>
    </r>
    <r>
      <rPr>
        <b/>
        <sz val="10"/>
        <color rgb="FF000000"/>
        <rFont val="DejaVu Sans"/>
        <family val="2"/>
      </rPr>
      <t>쉽먼트 오류</t>
    </r>
  </si>
  <si>
    <t>-88%</t>
  </si>
  <si>
    <t>오배송</t>
  </si>
  <si>
    <t>N/A</t>
  </si>
  <si>
    <t>합계</t>
  </si>
  <si>
    <t>사유별 월별 추이 분석</t>
  </si>
  <si>
    <r>
      <rPr>
        <b/>
        <sz val="9"/>
        <color rgb="FFFFFFFF"/>
        <rFont val="맑은 고딕"/>
        <charset val="1"/>
      </rPr>
      <t>12</t>
    </r>
    <r>
      <rPr>
        <b/>
        <sz val="9"/>
        <color rgb="FFFFFFFF"/>
        <rFont val="DejaVu Sans"/>
        <family val="2"/>
      </rPr>
      <t>월 건수</t>
    </r>
  </si>
  <si>
    <r>
      <rPr>
        <b/>
        <sz val="9"/>
        <color rgb="FFFFFFFF"/>
        <rFont val="맑은 고딕"/>
        <charset val="1"/>
      </rPr>
      <t>1</t>
    </r>
    <r>
      <rPr>
        <b/>
        <sz val="9"/>
        <color rgb="FFFFFFFF"/>
        <rFont val="DejaVu Sans"/>
        <family val="2"/>
      </rPr>
      <t>월 건수</t>
    </r>
  </si>
  <si>
    <r>
      <rPr>
        <b/>
        <sz val="9"/>
        <color rgb="FFFFFFFF"/>
        <rFont val="맑은 고딕"/>
        <charset val="1"/>
      </rPr>
      <t>2</t>
    </r>
    <r>
      <rPr>
        <b/>
        <sz val="9"/>
        <color rgb="FFFFFFFF"/>
        <rFont val="DejaVu Sans"/>
        <family val="2"/>
      </rPr>
      <t>월 건수</t>
    </r>
  </si>
  <si>
    <t>소계</t>
  </si>
  <si>
    <r>
      <rPr>
        <b/>
        <sz val="9"/>
        <color rgb="FFFFFFFF"/>
        <rFont val="맑은 고딕"/>
        <charset val="1"/>
      </rPr>
      <t>12→1</t>
    </r>
    <r>
      <rPr>
        <b/>
        <sz val="9"/>
        <color rgb="FFFFFFFF"/>
        <rFont val="DejaVu Sans"/>
        <family val="2"/>
      </rPr>
      <t>월 증감</t>
    </r>
  </si>
  <si>
    <r>
      <rPr>
        <b/>
        <sz val="9"/>
        <color rgb="FFFFFFFF"/>
        <rFont val="맑은 고딕"/>
        <charset val="1"/>
      </rPr>
      <t>1→2</t>
    </r>
    <r>
      <rPr>
        <b/>
        <sz val="9"/>
        <color rgb="FFFFFFFF"/>
        <rFont val="DejaVu Sans"/>
        <family val="2"/>
      </rPr>
      <t>월 증감</t>
    </r>
  </si>
  <si>
    <r>
      <rPr>
        <b/>
        <sz val="9"/>
        <color rgb="FFFFFFFF"/>
        <rFont val="맑은 고딕"/>
        <charset val="1"/>
      </rPr>
      <t>12</t>
    </r>
    <r>
      <rPr>
        <b/>
        <sz val="9"/>
        <color rgb="FFFFFFFF"/>
        <rFont val="DejaVu Sans"/>
        <family val="2"/>
      </rPr>
      <t>월 금액</t>
    </r>
  </si>
  <si>
    <r>
      <rPr>
        <b/>
        <sz val="9"/>
        <color rgb="FFFFFFFF"/>
        <rFont val="맑은 고딕"/>
        <charset val="1"/>
      </rPr>
      <t>1</t>
    </r>
    <r>
      <rPr>
        <b/>
        <sz val="9"/>
        <color rgb="FFFFFFFF"/>
        <rFont val="DejaVu Sans"/>
        <family val="2"/>
      </rPr>
      <t>월 금액</t>
    </r>
  </si>
  <si>
    <r>
      <rPr>
        <b/>
        <sz val="9"/>
        <color rgb="FFFFFFFF"/>
        <rFont val="맑은 고딕"/>
        <charset val="1"/>
      </rPr>
      <t>2</t>
    </r>
    <r>
      <rPr>
        <b/>
        <sz val="9"/>
        <color rgb="FFFFFFFF"/>
        <rFont val="DejaVu Sans"/>
        <family val="2"/>
      </rPr>
      <t>월 금액</t>
    </r>
  </si>
  <si>
    <t>건당 평균 금액</t>
  </si>
  <si>
    <t>-13</t>
  </si>
  <si>
    <t>-110</t>
  </si>
  <si>
    <t>-27</t>
  </si>
  <si>
    <t>+63</t>
  </si>
  <si>
    <t>+6</t>
  </si>
  <si>
    <t>+9</t>
  </si>
  <si>
    <t>-21</t>
  </si>
  <si>
    <t>-4</t>
  </si>
  <si>
    <t>-9</t>
  </si>
  <si>
    <t>+1</t>
  </si>
  <si>
    <t>+5</t>
  </si>
  <si>
    <t>-14</t>
  </si>
  <si>
    <t>-8</t>
  </si>
  <si>
    <t>+14</t>
  </si>
  <si>
    <t>+2</t>
  </si>
  <si>
    <t>-3</t>
  </si>
  <si>
    <r>
      <rPr>
        <sz val="10"/>
        <color rgb="FF000000"/>
        <rFont val="DejaVu Sans"/>
        <family val="2"/>
      </rPr>
      <t>송장</t>
    </r>
    <r>
      <rPr>
        <sz val="10"/>
        <color rgb="FF000000"/>
        <rFont val="맑은 고딕"/>
        <charset val="1"/>
      </rPr>
      <t>/</t>
    </r>
    <r>
      <rPr>
        <sz val="10"/>
        <color rgb="FF000000"/>
        <rFont val="DejaVu Sans"/>
        <family val="2"/>
      </rPr>
      <t>쉽먼트 오류</t>
    </r>
  </si>
  <si>
    <t>+8</t>
  </si>
  <si>
    <t>-7</t>
  </si>
  <si>
    <t>+0</t>
  </si>
  <si>
    <t>센터별 회송 현황</t>
  </si>
  <si>
    <t>순위</t>
  </si>
  <si>
    <t>센터명</t>
  </si>
  <si>
    <t>건수</t>
  </si>
  <si>
    <t>수량</t>
  </si>
  <si>
    <r>
      <rPr>
        <b/>
        <sz val="9"/>
        <color rgb="FFFFFFFF"/>
        <rFont val="DejaVu Sans"/>
        <family val="2"/>
      </rPr>
      <t>금액</t>
    </r>
    <r>
      <rPr>
        <b/>
        <sz val="9"/>
        <color rgb="FFFFFFFF"/>
        <rFont val="맑은 고딕"/>
        <charset val="1"/>
      </rPr>
      <t>(</t>
    </r>
    <r>
      <rPr>
        <b/>
        <sz val="9"/>
        <color rgb="FFFFFFFF"/>
        <rFont val="DejaVu Sans"/>
        <family val="2"/>
      </rPr>
      <t>원</t>
    </r>
    <r>
      <rPr>
        <b/>
        <sz val="9"/>
        <color rgb="FFFFFFFF"/>
        <rFont val="맑은 고딕"/>
        <charset val="1"/>
      </rPr>
      <t>)</t>
    </r>
  </si>
  <si>
    <r>
      <rPr>
        <b/>
        <sz val="9"/>
        <color rgb="FFFFFFFF"/>
        <rFont val="DejaVu Sans"/>
        <family val="2"/>
      </rPr>
      <t>건당 금액</t>
    </r>
    <r>
      <rPr>
        <b/>
        <sz val="9"/>
        <color rgb="FFFFFFFF"/>
        <rFont val="맑은 고딕"/>
        <charset val="1"/>
      </rPr>
      <t>(</t>
    </r>
    <r>
      <rPr>
        <b/>
        <sz val="9"/>
        <color rgb="FFFFFFFF"/>
        <rFont val="DejaVu Sans"/>
        <family val="2"/>
      </rPr>
      <t>원</t>
    </r>
    <r>
      <rPr>
        <b/>
        <sz val="9"/>
        <color rgb="FFFFFFFF"/>
        <rFont val="맑은 고딕"/>
        <charset val="1"/>
      </rPr>
      <t>)</t>
    </r>
  </si>
  <si>
    <t>건당 수량</t>
  </si>
  <si>
    <r>
      <rPr>
        <b/>
        <sz val="10"/>
        <color rgb="FF000000"/>
        <rFont val="DejaVu Sans"/>
        <family val="2"/>
      </rPr>
      <t>이천</t>
    </r>
    <r>
      <rPr>
        <b/>
        <sz val="10"/>
        <color rgb="FF000000"/>
        <rFont val="맑은 고딕"/>
        <charset val="1"/>
      </rPr>
      <t>4</t>
    </r>
  </si>
  <si>
    <r>
      <rPr>
        <b/>
        <sz val="10"/>
        <color rgb="FF000000"/>
        <rFont val="DejaVu Sans"/>
        <family val="2"/>
      </rPr>
      <t>인천</t>
    </r>
    <r>
      <rPr>
        <b/>
        <sz val="10"/>
        <color rgb="FF000000"/>
        <rFont val="맑은 고딕"/>
        <charset val="1"/>
      </rPr>
      <t>14</t>
    </r>
  </si>
  <si>
    <r>
      <rPr>
        <b/>
        <sz val="10"/>
        <color rgb="FF000000"/>
        <rFont val="DejaVu Sans"/>
        <family val="2"/>
      </rPr>
      <t>안성</t>
    </r>
    <r>
      <rPr>
        <b/>
        <sz val="10"/>
        <color rgb="FF000000"/>
        <rFont val="맑은 고딕"/>
        <charset val="1"/>
      </rPr>
      <t>5</t>
    </r>
  </si>
  <si>
    <r>
      <rPr>
        <sz val="10"/>
        <color rgb="FF000000"/>
        <rFont val="DejaVu Sans"/>
        <family val="2"/>
      </rPr>
      <t>시흥</t>
    </r>
    <r>
      <rPr>
        <sz val="10"/>
        <color rgb="FF000000"/>
        <rFont val="맑은 고딕"/>
        <charset val="1"/>
      </rPr>
      <t>2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</si>
  <si>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36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</si>
  <si>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32</t>
    </r>
  </si>
  <si>
    <r>
      <rPr>
        <sz val="10"/>
        <color rgb="FF000000"/>
        <rFont val="DejaVu Sans"/>
        <family val="2"/>
      </rPr>
      <t>안산</t>
    </r>
    <r>
      <rPr>
        <sz val="10"/>
        <color rgb="FF000000"/>
        <rFont val="맑은 고딕"/>
        <charset val="1"/>
      </rPr>
      <t>3</t>
    </r>
  </si>
  <si>
    <t>호법</t>
  </si>
  <si>
    <r>
      <rPr>
        <sz val="10"/>
        <color rgb="FF000000"/>
        <rFont val="DejaVu Sans"/>
        <family val="2"/>
      </rPr>
      <t>대구</t>
    </r>
    <r>
      <rPr>
        <sz val="10"/>
        <color rgb="FF000000"/>
        <rFont val="맑은 고딕"/>
        <charset val="1"/>
      </rPr>
      <t>2</t>
    </r>
  </si>
  <si>
    <r>
      <rPr>
        <sz val="10"/>
        <color rgb="FF000000"/>
        <rFont val="DejaVu Sans"/>
        <family val="2"/>
      </rPr>
      <t>동탄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</si>
  <si>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평택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</si>
  <si>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경기광주</t>
    </r>
    <r>
      <rPr>
        <sz val="10"/>
        <color rgb="FF000000"/>
        <rFont val="맑은 고딕"/>
        <charset val="1"/>
      </rPr>
      <t>3</t>
    </r>
  </si>
  <si>
    <r>
      <rPr>
        <sz val="10"/>
        <color rgb="FF000000"/>
        <rFont val="DejaVu Sans"/>
        <family val="2"/>
      </rPr>
      <t>안성</t>
    </r>
    <r>
      <rPr>
        <sz val="10"/>
        <color rgb="FF000000"/>
        <rFont val="맑은 고딕"/>
        <charset val="1"/>
      </rPr>
      <t>4</t>
    </r>
  </si>
  <si>
    <r>
      <rPr>
        <sz val="10"/>
        <color rgb="FF000000"/>
        <rFont val="DejaVu Sans"/>
        <family val="2"/>
      </rPr>
      <t>용인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</si>
  <si>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경기광주</t>
    </r>
    <r>
      <rPr>
        <sz val="10"/>
        <color rgb="FF000000"/>
        <rFont val="맑은 고딕"/>
        <charset val="1"/>
      </rPr>
      <t>5</t>
    </r>
  </si>
  <si>
    <t>천안</t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</si>
  <si>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45</t>
    </r>
  </si>
  <si>
    <r>
      <rPr>
        <sz val="10"/>
        <color rgb="FF000000"/>
        <rFont val="DejaVu Sans"/>
        <family val="2"/>
      </rPr>
      <t>대구</t>
    </r>
    <r>
      <rPr>
        <sz val="10"/>
        <color rgb="FF000000"/>
        <rFont val="맑은 고딕"/>
        <charset val="1"/>
      </rPr>
      <t>3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</si>
  <si>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28</t>
    </r>
  </si>
  <si>
    <r>
      <rPr>
        <sz val="10"/>
        <color rgb="FF000000"/>
        <rFont val="DejaVu Sans"/>
        <family val="2"/>
      </rPr>
      <t>천안</t>
    </r>
    <r>
      <rPr>
        <sz val="10"/>
        <color rgb="FF000000"/>
        <rFont val="맑은 고딕"/>
        <charset val="1"/>
      </rPr>
      <t>2</t>
    </r>
  </si>
  <si>
    <r>
      <rPr>
        <sz val="10"/>
        <color rgb="FF000000"/>
        <rFont val="DejaVu Sans"/>
        <family val="2"/>
      </rPr>
      <t>안산</t>
    </r>
    <r>
      <rPr>
        <sz val="10"/>
        <color rgb="FF000000"/>
        <rFont val="맑은 고딕"/>
        <charset val="1"/>
      </rPr>
      <t>2</t>
    </r>
  </si>
  <si>
    <r>
      <rPr>
        <sz val="10"/>
        <color rgb="FF000000"/>
        <rFont val="DejaVu Sans"/>
        <family val="2"/>
      </rPr>
      <t>부천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</si>
  <si>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안성</t>
    </r>
    <r>
      <rPr>
        <sz val="10"/>
        <color rgb="FF000000"/>
        <rFont val="맑은 고딕"/>
        <charset val="1"/>
      </rPr>
      <t>8</t>
    </r>
  </si>
  <si>
    <r>
      <rPr>
        <sz val="10"/>
        <color rgb="FF000000"/>
        <rFont val="DejaVu Sans"/>
        <family val="2"/>
      </rPr>
      <t>목천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</si>
  <si>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고양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</si>
  <si>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경기광주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</si>
  <si>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창원</t>
    </r>
    <r>
      <rPr>
        <sz val="10"/>
        <color rgb="FF000000"/>
        <rFont val="맑은 고딕"/>
        <charset val="1"/>
      </rPr>
      <t>4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</si>
  <si>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42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</si>
  <si>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16</t>
    </r>
  </si>
  <si>
    <r>
      <rPr>
        <sz val="10"/>
        <color rgb="FF000000"/>
        <rFont val="DejaVu Sans"/>
        <family val="2"/>
      </rPr>
      <t>이천</t>
    </r>
    <r>
      <rPr>
        <sz val="10"/>
        <color rgb="FF000000"/>
        <rFont val="맑은 고딕"/>
        <charset val="1"/>
      </rPr>
      <t>2</t>
    </r>
  </si>
  <si>
    <r>
      <rPr>
        <sz val="10"/>
        <color rgb="FF000000"/>
        <rFont val="DejaVu Sans"/>
        <family val="2"/>
      </rPr>
      <t>양산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</si>
  <si>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4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</si>
  <si>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30</t>
    </r>
  </si>
  <si>
    <r>
      <rPr>
        <sz val="10"/>
        <color rgb="FF000000"/>
        <rFont val="DejaVu Sans"/>
        <family val="2"/>
      </rPr>
      <t>이천</t>
    </r>
    <r>
      <rPr>
        <sz val="10"/>
        <color rgb="FF000000"/>
        <rFont val="맑은 고딕"/>
        <charset val="1"/>
      </rPr>
      <t>1</t>
    </r>
  </si>
  <si>
    <t>서울</t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</si>
  <si>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19</t>
    </r>
  </si>
  <si>
    <r>
      <rPr>
        <sz val="10"/>
        <color rgb="FF000000"/>
        <rFont val="DejaVu Sans"/>
        <family val="2"/>
      </rPr>
      <t>인천</t>
    </r>
    <r>
      <rPr>
        <sz val="10"/>
        <color rgb="FF000000"/>
        <rFont val="맑은 고딕"/>
        <charset val="1"/>
      </rPr>
      <t>1</t>
    </r>
  </si>
  <si>
    <r>
      <rPr>
        <sz val="10"/>
        <color rgb="FF000000"/>
        <rFont val="DejaVu Sans"/>
        <family val="2"/>
      </rPr>
      <t>마장</t>
    </r>
    <r>
      <rPr>
        <sz val="10"/>
        <color rgb="FF000000"/>
        <rFont val="맑은 고딕"/>
        <charset val="1"/>
      </rPr>
      <t>1</t>
    </r>
  </si>
  <si>
    <t>일별 회송 건수 및 금액 추이</t>
  </si>
  <si>
    <t>날짜</t>
  </si>
  <si>
    <t>월</t>
  </si>
  <si>
    <t>누적 건수</t>
  </si>
  <si>
    <t>2025-12-11</t>
  </si>
  <si>
    <r>
      <rPr>
        <sz val="10"/>
        <color rgb="FF000000"/>
        <rFont val="맑은 고딕"/>
        <charset val="1"/>
      </rPr>
      <t>12</t>
    </r>
    <r>
      <rPr>
        <sz val="10"/>
        <color rgb="FF000000"/>
        <rFont val="DejaVu Sans"/>
        <family val="2"/>
      </rPr>
      <t>월</t>
    </r>
  </si>
  <si>
    <t>2025-12-15</t>
  </si>
  <si>
    <t>2025-12-16</t>
  </si>
  <si>
    <r>
      <rPr>
        <b/>
        <sz val="10"/>
        <color rgb="FF000000"/>
        <rFont val="맑은 고딕"/>
        <charset val="1"/>
      </rPr>
      <t>12</t>
    </r>
    <r>
      <rPr>
        <b/>
        <sz val="10"/>
        <color rgb="FF000000"/>
        <rFont val="DejaVu Sans"/>
        <family val="2"/>
      </rPr>
      <t>월</t>
    </r>
  </si>
  <si>
    <t>2025-12-17</t>
  </si>
  <si>
    <t>2025-12-18</t>
  </si>
  <si>
    <t>2025-12-19</t>
  </si>
  <si>
    <t>2025-12-22</t>
  </si>
  <si>
    <t>2025-12-24</t>
  </si>
  <si>
    <t>2025-12-26</t>
  </si>
  <si>
    <t>2025-12-29</t>
  </si>
  <si>
    <t>2025-12-30</t>
  </si>
  <si>
    <t>2025-12-31</t>
  </si>
  <si>
    <t>2026-01-02</t>
  </si>
  <si>
    <r>
      <rPr>
        <sz val="10"/>
        <color rgb="FF000000"/>
        <rFont val="맑은 고딕"/>
        <charset val="1"/>
      </rPr>
      <t>1</t>
    </r>
    <r>
      <rPr>
        <sz val="10"/>
        <color rgb="FF000000"/>
        <rFont val="DejaVu Sans"/>
        <family val="2"/>
      </rPr>
      <t>월</t>
    </r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</si>
  <si>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</si>
  <si>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</si>
  <si>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</si>
  <si>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</si>
  <si>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</si>
  <si>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</si>
  <si>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</si>
  <si>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</si>
  <si>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</si>
  <si>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</si>
  <si>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</si>
  <si>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</si>
  <si>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</si>
  <si>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</si>
  <si>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2026-01-26</t>
  </si>
  <si>
    <t>2026-01-27</t>
  </si>
  <si>
    <t>2026-01-29</t>
  </si>
  <si>
    <t>2026-01-30</t>
  </si>
  <si>
    <t>2026-02-02</t>
  </si>
  <si>
    <r>
      <rPr>
        <sz val="10"/>
        <color rgb="FF000000"/>
        <rFont val="맑은 고딕"/>
        <charset val="1"/>
      </rPr>
      <t>2</t>
    </r>
    <r>
      <rPr>
        <sz val="10"/>
        <color rgb="FF000000"/>
        <rFont val="DejaVu Sans"/>
        <family val="2"/>
      </rPr>
      <t>월</t>
    </r>
  </si>
  <si>
    <t>2026-02-04</t>
  </si>
  <si>
    <t>2026-02-05</t>
  </si>
  <si>
    <t>2026-02-09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</si>
  <si>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</si>
  <si>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</si>
  <si>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</si>
  <si>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</si>
  <si>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</si>
  <si>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</si>
  <si>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</si>
  <si>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</si>
  <si>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r>
      <rPr>
        <b/>
        <sz val="10"/>
        <color rgb="FF000000"/>
        <rFont val="맑은 고딕"/>
        <charset val="1"/>
      </rPr>
      <t>2</t>
    </r>
    <r>
      <rPr>
        <b/>
        <sz val="10"/>
        <color rgb="FF000000"/>
        <rFont val="DejaVu Sans"/>
        <family val="2"/>
      </rPr>
      <t>월</t>
    </r>
  </si>
  <si>
    <t>2026-02-26</t>
  </si>
  <si>
    <r>
      <rPr>
        <sz val="9"/>
        <color rgb="FF7F7F7F"/>
        <rFont val="DejaVu Sans"/>
        <family val="2"/>
      </rPr>
      <t>※ 노란색</t>
    </r>
    <r>
      <rPr>
        <sz val="9"/>
        <color rgb="FF7F7F7F"/>
        <rFont val="맑은 고딕"/>
        <charset val="1"/>
      </rPr>
      <t xml:space="preserve">(🟡) : </t>
    </r>
    <r>
      <rPr>
        <sz val="9"/>
        <color rgb="FF7F7F7F"/>
        <rFont val="DejaVu Sans"/>
        <family val="2"/>
      </rPr>
      <t xml:space="preserve">당일 </t>
    </r>
    <r>
      <rPr>
        <sz val="9"/>
        <color rgb="FF7F7F7F"/>
        <rFont val="맑은 고딕"/>
        <charset val="1"/>
      </rPr>
      <t>50</t>
    </r>
    <r>
      <rPr>
        <sz val="9"/>
        <color rgb="FF7F7F7F"/>
        <rFont val="DejaVu Sans"/>
        <family val="2"/>
      </rPr>
      <t>건 이상 피크 발생일</t>
    </r>
  </si>
  <si>
    <t>회송 사유 코드 관리</t>
  </si>
  <si>
    <t>ID</t>
  </si>
  <si>
    <t>사유명</t>
  </si>
  <si>
    <t>사용자 청구</t>
  </si>
  <si>
    <t>활성 여부</t>
  </si>
  <si>
    <t>비고</t>
  </si>
  <si>
    <t>❌ 미청구</t>
  </si>
  <si>
    <t>✅ 활성</t>
  </si>
  <si>
    <t>✅ 청구</t>
  </si>
  <si>
    <t>⛔ 비활성</t>
  </si>
  <si>
    <t>비활성 처리됨</t>
  </si>
  <si>
    <t>유통기한</t>
  </si>
  <si>
    <t>실적 없음</t>
  </si>
  <si>
    <t>이미지 오류</t>
  </si>
  <si>
    <t>포장 불량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</si>
</sst>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"/>
  </numFmts>
  <fonts count="21">
    <font>
      <sz val="11"/>
      <color theme="1"/>
      <name val="Calibri"/>
      <family val="2"/>
      <charset val="1"/>
    </font>
    <font>
      <b/>
      <sz val="18"/>
      <color rgb="FFFFFFFF"/>
      <name val="DejaVu Sans"/>
      <family val="2"/>
    </font>
    <font>
      <sz val="10"/>
      <color rgb="FF7F7F7F"/>
      <name val="DejaVu Sans"/>
      <family val="2"/>
    </font>
    <font>
      <sz val="10"/>
      <color rgb="FF7F7F7F"/>
      <name val="맑은 고딕"/>
      <charset val="1"/>
    </font>
    <font>
      <b/>
      <sz val="9"/>
      <color rgb="FFFFFFFF"/>
      <name val="DejaVu Sans"/>
      <family val="2"/>
    </font>
    <font>
      <b/>
      <sz val="16"/>
      <color rgb="FFFFFFFF"/>
      <name val="맑은 고딕"/>
      <charset val="1"/>
    </font>
    <font>
      <b/>
      <sz val="16"/>
      <color rgb="FFFFFFFF"/>
      <name val="DejaVu Sans"/>
      <family val="2"/>
    </font>
    <font>
      <b/>
      <sz val="11"/>
      <color rgb="FFFFFFFF"/>
      <name val="DejaVu Sans"/>
      <family val="2"/>
    </font>
    <font>
      <b/>
      <sz val="9"/>
      <color rgb="FFFFFFFF"/>
      <name val="맑은 고딕"/>
      <charset val="1"/>
    </font>
    <font>
      <b/>
      <sz val="10"/>
      <color rgb="FF000000"/>
      <name val="DejaVu Sans"/>
      <family val="2"/>
    </font>
    <font>
      <sz val="10"/>
      <color rgb="FF000000"/>
      <name val="맑은 고딕"/>
      <charset val="1"/>
    </font>
    <font>
      <sz val="10"/>
      <color rgb="FFC00000"/>
      <name val="맑은 고딕"/>
      <charset val="1"/>
    </font>
    <font>
      <sz val="10"/>
      <color rgb="FF000000"/>
      <name val="DejaVu Sans"/>
      <family val="2"/>
    </font>
    <font>
      <sz val="10"/>
      <color rgb="FF70AD47"/>
      <name val="맑은 고딕"/>
      <charset val="1"/>
    </font>
    <font>
      <b/>
      <sz val="10"/>
      <color rgb="FF000000"/>
      <name val="맑은 고딕"/>
      <charset val="1"/>
    </font>
    <font>
      <b/>
      <sz val="10"/>
      <name val="맑은 고딕"/>
      <charset val="1"/>
    </font>
    <font>
      <b/>
      <sz val="15"/>
      <color rgb="FFFFFFFF"/>
      <name val="DejaVu Sans"/>
      <family val="2"/>
    </font>
    <font>
      <b/>
      <sz val="11"/>
      <color rgb="FF000000"/>
      <name val="맑은 고딕"/>
      <charset val="1"/>
    </font>
    <font>
      <b/>
      <sz val="11"/>
      <color rgb="FF000000"/>
      <name val="DejaVu Sans"/>
      <family val="2"/>
    </font>
    <font>
      <sz val="9"/>
      <color rgb="FF7F7F7F"/>
      <name val="DejaVu Sans"/>
      <family val="2"/>
    </font>
    <font>
      <sz val="9"/>
      <color rgb="FF7F7F7F"/>
      <name val="맑은 고딕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D6E4F7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FD966"/>
        <bgColor rgb="FFFFCC00"/>
      </patternFill>
    </fill>
    <fill>
      <patternFill patternType="solid">
        <fgColor rgb="FFEBF7EE"/>
        <bgColor rgb="FFEBF3FB"/>
      </patternFill>
    </fill>
    <fill>
      <patternFill patternType="solid">
        <fgColor rgb="FFF2F2F2"/>
        <bgColor rgb="FFEBF3FB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3" fontId="10" fillId="8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3" fontId="15" fillId="9" borderId="1" xfId="0" applyNumberFormat="1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3" fontId="14" fillId="10" borderId="1" xfId="0" applyNumberFormat="1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5" fontId="14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3" fontId="10" fillId="10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3" fontId="14" fillId="11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9" fillId="0" borderId="0" xfId="0" applyFont="1"/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3" fontId="3" fillId="13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D9D9D9"/>
      <rgbColor rgb="FF7F7F7F"/>
      <rgbColor rgb="FF9999FF"/>
      <rgbColor rgb="FF7030A0"/>
      <rgbColor rgb="FFFFF2CC"/>
      <rgbColor rgb="FFEBF7EE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7"/>
      <rgbColor rgb="FFF2F2F2"/>
      <rgbColor rgb="FFF9F9F9"/>
      <rgbColor rgb="FFFF99CC"/>
      <rgbColor rgb="FFCC99FF"/>
      <rgbColor rgb="FFFFD966"/>
      <rgbColor rgb="FF2E75B6"/>
      <rgbColor rgb="FF33CCCC"/>
      <rgbColor rgb="FF9BBB59"/>
      <rgbColor rgb="FFFFCC00"/>
      <rgbColor rgb="FFFF9900"/>
      <rgbColor rgb="FFED7D31"/>
      <rgbColor rgb="FF4A7EBB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사유별 회송 건수 </a:t>
            </a:r>
            <a:r>
              <a:rPr lang="en-US" altLang="ko-KR" sz="1800" b="1" u="none" strike="noStrike">
                <a:solidFill>
                  <a:srgbClr val="000000"/>
                </a:solidFill>
                <a:uFillTx/>
                <a:latin typeface="Calibri"/>
              </a:rPr>
              <a:t>(</a:t>
            </a: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월별</a:t>
            </a:r>
            <a:r>
              <a:rPr lang="en-US" altLang="ko-KR" sz="1800" b="1" u="none" strike="noStrike">
                <a:solidFill>
                  <a:srgbClr val="000000"/>
                </a:solidFill>
                <a:uFillTx/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월별·사유별 추이'!$C$4</c:f>
              <c:strCache>
                <c:ptCount val="1"/>
                <c:pt idx="0">
                  <c:v>12월 건수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월별·사유별 추이'!$B$5:$B$16</c:f>
              <c:strCache>
                <c:ptCount val="12"/>
                <c:pt idx="0">
                  <c:v>과착</c:v>
                </c:pt>
                <c:pt idx="1">
                  <c:v>입고예정일 미준수</c:v>
                </c:pt>
                <c:pt idx="2">
                  <c:v>상품 정보 오류</c:v>
                </c:pt>
                <c:pt idx="3">
                  <c:v>오착</c:v>
                </c:pt>
                <c:pt idx="4">
                  <c:v>파손</c:v>
                </c:pt>
                <c:pt idx="5">
                  <c:v>택배 오류</c:v>
                </c:pt>
                <c:pt idx="6">
                  <c:v>기타</c:v>
                </c:pt>
                <c:pt idx="7">
                  <c:v>송장 바코드 오류</c:v>
                </c:pt>
                <c:pt idx="8">
                  <c:v>바코드 오류</c:v>
                </c:pt>
                <c:pt idx="9">
                  <c:v>센터 오입고</c:v>
                </c:pt>
                <c:pt idx="10">
                  <c:v>송장/쉽먼트 오류</c:v>
                </c:pt>
                <c:pt idx="11">
                  <c:v>오배송</c:v>
                </c:pt>
              </c:strCache>
            </c:strRef>
          </c:cat>
          <c:val>
            <c:numRef>
              <c:f>'📈 월별·사유별 추이'!$C$5:$C$16</c:f>
              <c:numCache>
                <c:formatCode>#,##0</c:formatCode>
                <c:ptCount val="12"/>
                <c:pt idx="0">
                  <c:v>152</c:v>
                </c:pt>
                <c:pt idx="1">
                  <c:v>63</c:v>
                </c:pt>
                <c:pt idx="2">
                  <c:v>27</c:v>
                </c:pt>
                <c:pt idx="3">
                  <c:v>38</c:v>
                </c:pt>
                <c:pt idx="4">
                  <c:v>26</c:v>
                </c:pt>
                <c:pt idx="5">
                  <c:v>16</c:v>
                </c:pt>
                <c:pt idx="6">
                  <c:v>20</c:v>
                </c:pt>
                <c:pt idx="7">
                  <c:v>9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8-4528-9383-BB1C95568791}"/>
            </c:ext>
          </c:extLst>
        </c:ser>
        <c:ser>
          <c:idx val="1"/>
          <c:order val="1"/>
          <c:tx>
            <c:strRef>
              <c:f>'📈 월별·사유별 추이'!$D$4</c:f>
              <c:strCache>
                <c:ptCount val="1"/>
                <c:pt idx="0">
                  <c:v>1월 건수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월별·사유별 추이'!$B$5:$B$16</c:f>
              <c:strCache>
                <c:ptCount val="12"/>
                <c:pt idx="0">
                  <c:v>과착</c:v>
                </c:pt>
                <c:pt idx="1">
                  <c:v>입고예정일 미준수</c:v>
                </c:pt>
                <c:pt idx="2">
                  <c:v>상품 정보 오류</c:v>
                </c:pt>
                <c:pt idx="3">
                  <c:v>오착</c:v>
                </c:pt>
                <c:pt idx="4">
                  <c:v>파손</c:v>
                </c:pt>
                <c:pt idx="5">
                  <c:v>택배 오류</c:v>
                </c:pt>
                <c:pt idx="6">
                  <c:v>기타</c:v>
                </c:pt>
                <c:pt idx="7">
                  <c:v>송장 바코드 오류</c:v>
                </c:pt>
                <c:pt idx="8">
                  <c:v>바코드 오류</c:v>
                </c:pt>
                <c:pt idx="9">
                  <c:v>센터 오입고</c:v>
                </c:pt>
                <c:pt idx="10">
                  <c:v>송장/쉽먼트 오류</c:v>
                </c:pt>
                <c:pt idx="11">
                  <c:v>오배송</c:v>
                </c:pt>
              </c:strCache>
            </c:strRef>
          </c:cat>
          <c:val>
            <c:numRef>
              <c:f>'📈 월별·사유별 추이'!$D$5:$D$16</c:f>
              <c:numCache>
                <c:formatCode>#,##0</c:formatCode>
                <c:ptCount val="12"/>
                <c:pt idx="0">
                  <c:v>139</c:v>
                </c:pt>
                <c:pt idx="1">
                  <c:v>36</c:v>
                </c:pt>
                <c:pt idx="2">
                  <c:v>33</c:v>
                </c:pt>
                <c:pt idx="3">
                  <c:v>17</c:v>
                </c:pt>
                <c:pt idx="4">
                  <c:v>17</c:v>
                </c:pt>
                <c:pt idx="5">
                  <c:v>22</c:v>
                </c:pt>
                <c:pt idx="6">
                  <c:v>25</c:v>
                </c:pt>
                <c:pt idx="7">
                  <c:v>10</c:v>
                </c:pt>
                <c:pt idx="8">
                  <c:v>14</c:v>
                </c:pt>
                <c:pt idx="9">
                  <c:v>6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78-4528-9383-BB1C95568791}"/>
            </c:ext>
          </c:extLst>
        </c:ser>
        <c:ser>
          <c:idx val="2"/>
          <c:order val="2"/>
          <c:tx>
            <c:strRef>
              <c:f>'📈 월별·사유별 추이'!$E$4</c:f>
              <c:strCache>
                <c:ptCount val="1"/>
                <c:pt idx="0">
                  <c:v>2월 건수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월별·사유별 추이'!$B$5:$B$16</c:f>
              <c:strCache>
                <c:ptCount val="12"/>
                <c:pt idx="0">
                  <c:v>과착</c:v>
                </c:pt>
                <c:pt idx="1">
                  <c:v>입고예정일 미준수</c:v>
                </c:pt>
                <c:pt idx="2">
                  <c:v>상품 정보 오류</c:v>
                </c:pt>
                <c:pt idx="3">
                  <c:v>오착</c:v>
                </c:pt>
                <c:pt idx="4">
                  <c:v>파손</c:v>
                </c:pt>
                <c:pt idx="5">
                  <c:v>택배 오류</c:v>
                </c:pt>
                <c:pt idx="6">
                  <c:v>기타</c:v>
                </c:pt>
                <c:pt idx="7">
                  <c:v>송장 바코드 오류</c:v>
                </c:pt>
                <c:pt idx="8">
                  <c:v>바코드 오류</c:v>
                </c:pt>
                <c:pt idx="9">
                  <c:v>센터 오입고</c:v>
                </c:pt>
                <c:pt idx="10">
                  <c:v>송장/쉽먼트 오류</c:v>
                </c:pt>
                <c:pt idx="11">
                  <c:v>오배송</c:v>
                </c:pt>
              </c:strCache>
            </c:strRef>
          </c:cat>
          <c:val>
            <c:numRef>
              <c:f>'📈 월별·사유별 추이'!$E$5:$E$16</c:f>
              <c:numCache>
                <c:formatCode>#,##0</c:formatCode>
                <c:ptCount val="12"/>
                <c:pt idx="0">
                  <c:v>29</c:v>
                </c:pt>
                <c:pt idx="1">
                  <c:v>99</c:v>
                </c:pt>
                <c:pt idx="2">
                  <c:v>42</c:v>
                </c:pt>
                <c:pt idx="3">
                  <c:v>13</c:v>
                </c:pt>
                <c:pt idx="4">
                  <c:v>23</c:v>
                </c:pt>
                <c:pt idx="5">
                  <c:v>23</c:v>
                </c:pt>
                <c:pt idx="6">
                  <c:v>11</c:v>
                </c:pt>
                <c:pt idx="7">
                  <c:v>2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78-4528-9383-BB1C95568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01841"/>
        <c:axId val="65419956"/>
      </c:barChart>
      <c:catAx>
        <c:axId val="39101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회송 사유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419956"/>
        <c:crosses val="autoZero"/>
        <c:auto val="1"/>
        <c:lblAlgn val="ctr"/>
        <c:lblOffset val="100"/>
        <c:noMultiLvlLbl val="0"/>
      </c:catAx>
      <c:valAx>
        <c:axId val="65419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건수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1018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센터별 회송 건수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TOP 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'🏭 센터별 분석'!$D$4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'🏭 센터별 분석'!$C$5:$C$14</c:f>
              <c:strCache>
                <c:ptCount val="10"/>
                <c:pt idx="0">
                  <c:v>이천4</c:v>
                </c:pt>
                <c:pt idx="1">
                  <c:v>인천14</c:v>
                </c:pt>
                <c:pt idx="2">
                  <c:v>안성5</c:v>
                </c:pt>
                <c:pt idx="3">
                  <c:v>시흥2</c:v>
                </c:pt>
                <c:pt idx="4">
                  <c:v>인천36</c:v>
                </c:pt>
                <c:pt idx="5">
                  <c:v>인천32</c:v>
                </c:pt>
                <c:pt idx="6">
                  <c:v>안산3</c:v>
                </c:pt>
                <c:pt idx="7">
                  <c:v>호법</c:v>
                </c:pt>
                <c:pt idx="8">
                  <c:v>대구2</c:v>
                </c:pt>
                <c:pt idx="9">
                  <c:v>동탄1</c:v>
                </c:pt>
              </c:strCache>
            </c:strRef>
          </c:cat>
          <c:val>
            <c:numRef>
              <c:f>'🏭 센터별 분석'!$D$5:$D$14</c:f>
              <c:numCache>
                <c:formatCode>#,##0</c:formatCode>
                <c:ptCount val="10"/>
                <c:pt idx="0">
                  <c:v>167</c:v>
                </c:pt>
                <c:pt idx="1">
                  <c:v>111</c:v>
                </c:pt>
                <c:pt idx="2">
                  <c:v>111</c:v>
                </c:pt>
                <c:pt idx="3">
                  <c:v>60</c:v>
                </c:pt>
                <c:pt idx="4">
                  <c:v>55</c:v>
                </c:pt>
                <c:pt idx="5">
                  <c:v>50</c:v>
                </c:pt>
                <c:pt idx="6">
                  <c:v>50</c:v>
                </c:pt>
                <c:pt idx="7">
                  <c:v>47</c:v>
                </c:pt>
                <c:pt idx="8">
                  <c:v>35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126-AF2A-FFFD2490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46869"/>
        <c:axId val="41942829"/>
      </c:barChart>
      <c:catAx>
        <c:axId val="356468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건수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942829"/>
        <c:crosses val="autoZero"/>
        <c:auto val="1"/>
        <c:lblAlgn val="ctr"/>
        <c:lblOffset val="100"/>
        <c:noMultiLvlLbl val="0"/>
      </c:catAx>
      <c:valAx>
        <c:axId val="419428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센터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56468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일별 회송 건수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일별 추이'!$D$4</c:f>
              <c:strCache>
                <c:ptCount val="1"/>
                <c:pt idx="0">
                  <c:v>건수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'📅 일별 추이'!$B$5:$B$48</c:f>
              <c:strCache>
                <c:ptCount val="44"/>
                <c:pt idx="0">
                  <c:v>2025-12-11</c:v>
                </c:pt>
                <c:pt idx="1">
                  <c:v>2025-12-15</c:v>
                </c:pt>
                <c:pt idx="2">
                  <c:v>2025-12-16</c:v>
                </c:pt>
                <c:pt idx="3">
                  <c:v>2025-12-17</c:v>
                </c:pt>
                <c:pt idx="4">
                  <c:v>2025-12-18</c:v>
                </c:pt>
                <c:pt idx="5">
                  <c:v>2025-12-19</c:v>
                </c:pt>
                <c:pt idx="6">
                  <c:v>2025-12-22</c:v>
                </c:pt>
                <c:pt idx="7">
                  <c:v>2025-12-24</c:v>
                </c:pt>
                <c:pt idx="8">
                  <c:v>2025-12-26</c:v>
                </c:pt>
                <c:pt idx="9">
                  <c:v>2025-12-29</c:v>
                </c:pt>
                <c:pt idx="10">
                  <c:v>2025-12-30</c:v>
                </c:pt>
                <c:pt idx="11">
                  <c:v>2025-12-31</c:v>
                </c:pt>
                <c:pt idx="12">
                  <c:v>2026-01-02</c:v>
                </c:pt>
                <c:pt idx="13">
                  <c:v>2026-01-05</c:v>
                </c:pt>
                <c:pt idx="14">
                  <c:v>2026-01-06</c:v>
                </c:pt>
                <c:pt idx="15">
                  <c:v>2026-01-07</c:v>
                </c:pt>
                <c:pt idx="16">
                  <c:v>2026-01-08</c:v>
                </c:pt>
                <c:pt idx="17">
                  <c:v>2026-01-09</c:v>
                </c:pt>
                <c:pt idx="18">
                  <c:v>2026-01-12</c:v>
                </c:pt>
                <c:pt idx="19">
                  <c:v>2026-01-13</c:v>
                </c:pt>
                <c:pt idx="20">
                  <c:v>2026-01-14</c:v>
                </c:pt>
                <c:pt idx="21">
                  <c:v>2026-01-15</c:v>
                </c:pt>
                <c:pt idx="22">
                  <c:v>2026-01-16</c:v>
                </c:pt>
                <c:pt idx="23">
                  <c:v>2026-01-19</c:v>
                </c:pt>
                <c:pt idx="24">
                  <c:v>2026-01-20</c:v>
                </c:pt>
                <c:pt idx="25">
                  <c:v>2026-01-21</c:v>
                </c:pt>
                <c:pt idx="26">
                  <c:v>2026-01-22</c:v>
                </c:pt>
                <c:pt idx="27">
                  <c:v>2026-01-26</c:v>
                </c:pt>
                <c:pt idx="28">
                  <c:v>2026-01-27</c:v>
                </c:pt>
                <c:pt idx="29">
                  <c:v>2026-01-29</c:v>
                </c:pt>
                <c:pt idx="30">
                  <c:v>2026-01-30</c:v>
                </c:pt>
                <c:pt idx="31">
                  <c:v>2026-02-02</c:v>
                </c:pt>
                <c:pt idx="32">
                  <c:v>2026-02-04</c:v>
                </c:pt>
                <c:pt idx="33">
                  <c:v>2026-02-05</c:v>
                </c:pt>
                <c:pt idx="34">
                  <c:v>2026-02-09</c:v>
                </c:pt>
                <c:pt idx="35">
                  <c:v>2026-02-11</c:v>
                </c:pt>
                <c:pt idx="36">
                  <c:v>2026-02-12</c:v>
                </c:pt>
                <c:pt idx="37">
                  <c:v>2026-02-13</c:v>
                </c:pt>
                <c:pt idx="38">
                  <c:v>2026-02-19</c:v>
                </c:pt>
                <c:pt idx="39">
                  <c:v>2026-02-20</c:v>
                </c:pt>
                <c:pt idx="40">
                  <c:v>2026-02-23</c:v>
                </c:pt>
                <c:pt idx="41">
                  <c:v>2026-02-24</c:v>
                </c:pt>
                <c:pt idx="42">
                  <c:v>2026-02-25</c:v>
                </c:pt>
                <c:pt idx="43">
                  <c:v>2026-02-26</c:v>
                </c:pt>
              </c:strCache>
            </c:strRef>
          </c:cat>
          <c:val>
            <c:numRef>
              <c:f>'📅 일별 추이'!$D$5:$D$48</c:f>
              <c:numCache>
                <c:formatCode>#,##0</c:formatCode>
                <c:ptCount val="44"/>
                <c:pt idx="0">
                  <c:v>2</c:v>
                </c:pt>
                <c:pt idx="1">
                  <c:v>9</c:v>
                </c:pt>
                <c:pt idx="2">
                  <c:v>73</c:v>
                </c:pt>
                <c:pt idx="3">
                  <c:v>8</c:v>
                </c:pt>
                <c:pt idx="4">
                  <c:v>43</c:v>
                </c:pt>
                <c:pt idx="5">
                  <c:v>17</c:v>
                </c:pt>
                <c:pt idx="6">
                  <c:v>30</c:v>
                </c:pt>
                <c:pt idx="7">
                  <c:v>83</c:v>
                </c:pt>
                <c:pt idx="8">
                  <c:v>4</c:v>
                </c:pt>
                <c:pt idx="9">
                  <c:v>51</c:v>
                </c:pt>
                <c:pt idx="10">
                  <c:v>18</c:v>
                </c:pt>
                <c:pt idx="11">
                  <c:v>17</c:v>
                </c:pt>
                <c:pt idx="12">
                  <c:v>17</c:v>
                </c:pt>
                <c:pt idx="13">
                  <c:v>15</c:v>
                </c:pt>
                <c:pt idx="14">
                  <c:v>15</c:v>
                </c:pt>
                <c:pt idx="15">
                  <c:v>29</c:v>
                </c:pt>
                <c:pt idx="16">
                  <c:v>46</c:v>
                </c:pt>
                <c:pt idx="17">
                  <c:v>18</c:v>
                </c:pt>
                <c:pt idx="18">
                  <c:v>28</c:v>
                </c:pt>
                <c:pt idx="19">
                  <c:v>11</c:v>
                </c:pt>
                <c:pt idx="20">
                  <c:v>14</c:v>
                </c:pt>
                <c:pt idx="21">
                  <c:v>16</c:v>
                </c:pt>
                <c:pt idx="22">
                  <c:v>17</c:v>
                </c:pt>
                <c:pt idx="23">
                  <c:v>2</c:v>
                </c:pt>
                <c:pt idx="24">
                  <c:v>11</c:v>
                </c:pt>
                <c:pt idx="25">
                  <c:v>20</c:v>
                </c:pt>
                <c:pt idx="26">
                  <c:v>6</c:v>
                </c:pt>
                <c:pt idx="27">
                  <c:v>9</c:v>
                </c:pt>
                <c:pt idx="28">
                  <c:v>13</c:v>
                </c:pt>
                <c:pt idx="29">
                  <c:v>32</c:v>
                </c:pt>
                <c:pt idx="30">
                  <c:v>8</c:v>
                </c:pt>
                <c:pt idx="31">
                  <c:v>6</c:v>
                </c:pt>
                <c:pt idx="32">
                  <c:v>11</c:v>
                </c:pt>
                <c:pt idx="33">
                  <c:v>10</c:v>
                </c:pt>
                <c:pt idx="34">
                  <c:v>22</c:v>
                </c:pt>
                <c:pt idx="35">
                  <c:v>11</c:v>
                </c:pt>
                <c:pt idx="36">
                  <c:v>6</c:v>
                </c:pt>
                <c:pt idx="37">
                  <c:v>19</c:v>
                </c:pt>
                <c:pt idx="38">
                  <c:v>7</c:v>
                </c:pt>
                <c:pt idx="39">
                  <c:v>7</c:v>
                </c:pt>
                <c:pt idx="40">
                  <c:v>46</c:v>
                </c:pt>
                <c:pt idx="41">
                  <c:v>24</c:v>
                </c:pt>
                <c:pt idx="42">
                  <c:v>53</c:v>
                </c:pt>
                <c:pt idx="4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64-44EE-9FDF-D4DC490CD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788622"/>
        <c:axId val="6002210"/>
      </c:lineChart>
      <c:catAx>
        <c:axId val="297886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날짜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002210"/>
        <c:crosses val="autoZero"/>
        <c:auto val="1"/>
        <c:lblAlgn val="ctr"/>
        <c:lblOffset val="100"/>
        <c:noMultiLvlLbl val="0"/>
      </c:catAx>
      <c:valAx>
        <c:axId val="6002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ko-KR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건수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7886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10</xdr:col>
      <xdr:colOff>730440</xdr:colOff>
      <xdr:row>41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10</xdr:col>
      <xdr:colOff>385560</xdr:colOff>
      <xdr:row>69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14</xdr:col>
      <xdr:colOff>427320</xdr:colOff>
      <xdr:row>79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4"/>
  <sheetViews>
    <sheetView showGridLines="0" tabSelected="1" zoomScaleNormal="100" workbookViewId="0">
      <selection activeCell="O7" sqref="O7"/>
    </sheetView>
  </sheetViews>
  <sheetFormatPr defaultColWidth="8.7109375" defaultRowHeight="15" customHeight="1"/>
  <cols>
    <col min="1" max="1" width="2" customWidth="1"/>
    <col min="2" max="2" width="18" customWidth="1"/>
    <col min="3" max="6" width="8" customWidth="1"/>
    <col min="7" max="8" width="9" customWidth="1"/>
    <col min="9" max="9" width="14" customWidth="1"/>
    <col min="10" max="10" width="10" customWidth="1"/>
    <col min="11" max="11" width="8" customWidth="1"/>
  </cols>
  <sheetData>
    <row r="1" spans="2:11" ht="9.75" customHeight="1"/>
    <row r="2" spans="2:11" ht="37.5" customHeight="1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19.5" customHeight="1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</row>
    <row r="4" spans="2:11" ht="12" customHeight="1"/>
    <row r="5" spans="2:11" ht="18" customHeight="1">
      <c r="B5" s="12" t="s">
        <v>2</v>
      </c>
      <c r="C5" s="12"/>
      <c r="D5" s="11" t="s">
        <v>3</v>
      </c>
      <c r="E5" s="11"/>
      <c r="F5" s="10" t="s">
        <v>4</v>
      </c>
      <c r="G5" s="10"/>
      <c r="H5" s="9" t="s">
        <v>5</v>
      </c>
      <c r="I5" s="9"/>
      <c r="J5" s="8" t="s">
        <v>6</v>
      </c>
      <c r="K5" s="8"/>
    </row>
    <row r="6" spans="2:11" ht="9.75" customHeight="1">
      <c r="B6" s="7"/>
      <c r="C6" s="7"/>
      <c r="D6" s="6"/>
      <c r="E6" s="6"/>
      <c r="F6" s="5"/>
      <c r="G6" s="5"/>
      <c r="H6" s="4"/>
      <c r="I6" s="4"/>
      <c r="J6" s="3"/>
      <c r="K6" s="3"/>
    </row>
    <row r="7" spans="2:11" ht="31.5" customHeight="1">
      <c r="B7" s="2" t="s">
        <v>7</v>
      </c>
      <c r="C7" s="2"/>
      <c r="D7" s="1" t="s">
        <v>8</v>
      </c>
      <c r="E7" s="1"/>
      <c r="F7" s="64" t="s">
        <v>9</v>
      </c>
      <c r="G7" s="64"/>
      <c r="H7" s="65" t="s">
        <v>10</v>
      </c>
      <c r="I7" s="65"/>
      <c r="J7" s="66" t="s">
        <v>11</v>
      </c>
      <c r="K7" s="66"/>
    </row>
    <row r="8" spans="2:11" ht="9.75" customHeight="1">
      <c r="B8" s="67"/>
      <c r="C8" s="67"/>
      <c r="D8" s="68"/>
      <c r="E8" s="68"/>
      <c r="F8" s="69"/>
      <c r="G8" s="69"/>
      <c r="H8" s="70"/>
      <c r="I8" s="70"/>
      <c r="J8" s="71"/>
      <c r="K8" s="71"/>
    </row>
    <row r="9" spans="2:11" ht="13.5" customHeight="1"/>
    <row r="10" spans="2:11" ht="24" customHeight="1">
      <c r="B10" s="72" t="s">
        <v>12</v>
      </c>
      <c r="C10" s="72"/>
      <c r="D10" s="72"/>
      <c r="E10" s="72"/>
      <c r="F10" s="72"/>
      <c r="G10" s="72"/>
      <c r="H10" s="72"/>
      <c r="I10" s="72"/>
      <c r="J10" s="72"/>
      <c r="K10" s="72"/>
    </row>
    <row r="11" spans="2:11" ht="21.75" customHeight="1">
      <c r="B11" s="15" t="s">
        <v>13</v>
      </c>
      <c r="C11" s="16" t="s">
        <v>14</v>
      </c>
      <c r="D11" s="16" t="s">
        <v>15</v>
      </c>
      <c r="E11" s="16" t="s">
        <v>16</v>
      </c>
      <c r="F11" s="15" t="s">
        <v>17</v>
      </c>
      <c r="G11" s="15" t="s">
        <v>18</v>
      </c>
      <c r="H11" s="15" t="s">
        <v>3</v>
      </c>
      <c r="I11" s="15" t="s">
        <v>19</v>
      </c>
      <c r="J11" s="15" t="s">
        <v>20</v>
      </c>
      <c r="K11" s="15" t="s">
        <v>21</v>
      </c>
    </row>
    <row r="12" spans="2:11" ht="18" customHeight="1">
      <c r="B12" s="17" t="s">
        <v>22</v>
      </c>
      <c r="C12" s="18">
        <v>152</v>
      </c>
      <c r="D12" s="18">
        <v>139</v>
      </c>
      <c r="E12" s="18">
        <v>29</v>
      </c>
      <c r="F12" s="18">
        <v>320</v>
      </c>
      <c r="G12" s="19">
        <v>34.224598930481299</v>
      </c>
      <c r="H12" s="18">
        <v>152</v>
      </c>
      <c r="I12" s="18">
        <v>1044480</v>
      </c>
      <c r="J12" s="20" t="s">
        <v>23</v>
      </c>
      <c r="K12" s="21" t="s">
        <v>24</v>
      </c>
    </row>
    <row r="13" spans="2:11" ht="18" customHeight="1">
      <c r="B13" s="22" t="s">
        <v>25</v>
      </c>
      <c r="C13" s="23">
        <v>63</v>
      </c>
      <c r="D13" s="23">
        <v>36</v>
      </c>
      <c r="E13" s="23">
        <v>99</v>
      </c>
      <c r="F13" s="23">
        <v>198</v>
      </c>
      <c r="G13" s="24">
        <v>21.176470588235301</v>
      </c>
      <c r="H13" s="23">
        <v>63</v>
      </c>
      <c r="I13" s="23">
        <v>1150409</v>
      </c>
      <c r="J13" s="25" t="s">
        <v>26</v>
      </c>
      <c r="K13" s="26" t="s">
        <v>27</v>
      </c>
    </row>
    <row r="14" spans="2:11" ht="18" customHeight="1">
      <c r="B14" s="17" t="s">
        <v>28</v>
      </c>
      <c r="C14" s="18">
        <v>27</v>
      </c>
      <c r="D14" s="18">
        <v>33</v>
      </c>
      <c r="E14" s="18">
        <v>42</v>
      </c>
      <c r="F14" s="18">
        <v>102</v>
      </c>
      <c r="G14" s="19">
        <v>10.909090909090899</v>
      </c>
      <c r="H14" s="18">
        <v>27</v>
      </c>
      <c r="I14" s="18">
        <v>402600</v>
      </c>
      <c r="J14" s="27" t="s">
        <v>29</v>
      </c>
      <c r="K14" s="21" t="s">
        <v>27</v>
      </c>
    </row>
    <row r="15" spans="2:11" ht="18" customHeight="1">
      <c r="B15" s="22" t="s">
        <v>30</v>
      </c>
      <c r="C15" s="23">
        <v>38</v>
      </c>
      <c r="D15" s="23">
        <v>17</v>
      </c>
      <c r="E15" s="23">
        <v>13</v>
      </c>
      <c r="F15" s="23">
        <v>68</v>
      </c>
      <c r="G15" s="24">
        <v>7.2727272727272698</v>
      </c>
      <c r="H15" s="23">
        <v>38</v>
      </c>
      <c r="I15" s="23">
        <v>196400</v>
      </c>
      <c r="J15" s="28" t="s">
        <v>31</v>
      </c>
      <c r="K15" s="26" t="s">
        <v>24</v>
      </c>
    </row>
    <row r="16" spans="2:11" ht="18" customHeight="1">
      <c r="B16" s="17" t="s">
        <v>32</v>
      </c>
      <c r="C16" s="18">
        <v>26</v>
      </c>
      <c r="D16" s="18">
        <v>17</v>
      </c>
      <c r="E16" s="18">
        <v>23</v>
      </c>
      <c r="F16" s="18">
        <v>66</v>
      </c>
      <c r="G16" s="19">
        <v>7.0588235294117601</v>
      </c>
      <c r="H16" s="18">
        <v>26</v>
      </c>
      <c r="I16" s="18">
        <v>247000</v>
      </c>
      <c r="J16" s="27" t="s">
        <v>33</v>
      </c>
      <c r="K16" s="21" t="s">
        <v>27</v>
      </c>
    </row>
    <row r="17" spans="2:11" ht="18" customHeight="1">
      <c r="B17" s="22" t="s">
        <v>34</v>
      </c>
      <c r="C17" s="23">
        <v>16</v>
      </c>
      <c r="D17" s="23">
        <v>22</v>
      </c>
      <c r="E17" s="23">
        <v>23</v>
      </c>
      <c r="F17" s="23">
        <v>61</v>
      </c>
      <c r="G17" s="24">
        <v>6.5240641711230003</v>
      </c>
      <c r="H17" s="23">
        <v>16</v>
      </c>
      <c r="I17" s="23">
        <v>284508</v>
      </c>
      <c r="J17" s="25" t="s">
        <v>35</v>
      </c>
      <c r="K17" s="26" t="s">
        <v>27</v>
      </c>
    </row>
    <row r="18" spans="2:11" ht="18" customHeight="1">
      <c r="B18" s="17" t="s">
        <v>36</v>
      </c>
      <c r="C18" s="18">
        <v>20</v>
      </c>
      <c r="D18" s="18">
        <v>25</v>
      </c>
      <c r="E18" s="18">
        <v>11</v>
      </c>
      <c r="F18" s="18">
        <v>56</v>
      </c>
      <c r="G18" s="19">
        <v>5.9893048128342299</v>
      </c>
      <c r="H18" s="18">
        <v>20</v>
      </c>
      <c r="I18" s="18">
        <v>166700</v>
      </c>
      <c r="J18" s="20" t="s">
        <v>37</v>
      </c>
      <c r="K18" s="21" t="s">
        <v>24</v>
      </c>
    </row>
    <row r="19" spans="2:11" ht="18" customHeight="1">
      <c r="B19" s="22" t="s">
        <v>38</v>
      </c>
      <c r="C19" s="23">
        <v>9</v>
      </c>
      <c r="D19" s="23">
        <v>10</v>
      </c>
      <c r="E19" s="23">
        <v>2</v>
      </c>
      <c r="F19" s="23">
        <v>21</v>
      </c>
      <c r="G19" s="24">
        <v>2.2459893048128299</v>
      </c>
      <c r="H19" s="23">
        <v>9</v>
      </c>
      <c r="I19" s="23">
        <v>67700</v>
      </c>
      <c r="J19" s="28" t="s">
        <v>39</v>
      </c>
      <c r="K19" s="26" t="s">
        <v>24</v>
      </c>
    </row>
    <row r="20" spans="2:11" ht="18" customHeight="1">
      <c r="B20" s="17" t="s">
        <v>40</v>
      </c>
      <c r="C20" s="18">
        <v>0</v>
      </c>
      <c r="D20" s="18">
        <v>14</v>
      </c>
      <c r="E20" s="18">
        <v>6</v>
      </c>
      <c r="F20" s="18">
        <v>20</v>
      </c>
      <c r="G20" s="19">
        <v>2.1390374331550799</v>
      </c>
      <c r="H20" s="18">
        <v>0</v>
      </c>
      <c r="I20" s="18">
        <v>56300</v>
      </c>
      <c r="J20" s="20" t="s">
        <v>41</v>
      </c>
      <c r="K20" s="21" t="s">
        <v>24</v>
      </c>
    </row>
    <row r="21" spans="2:11" ht="18" customHeight="1">
      <c r="B21" s="22" t="s">
        <v>42</v>
      </c>
      <c r="C21" s="23">
        <v>4</v>
      </c>
      <c r="D21" s="23">
        <v>6</v>
      </c>
      <c r="E21" s="23">
        <v>3</v>
      </c>
      <c r="F21" s="23">
        <v>13</v>
      </c>
      <c r="G21" s="24">
        <v>1.3903743315507999</v>
      </c>
      <c r="H21" s="23">
        <v>4</v>
      </c>
      <c r="I21" s="23">
        <v>47600</v>
      </c>
      <c r="J21" s="28" t="s">
        <v>43</v>
      </c>
      <c r="K21" s="26" t="s">
        <v>24</v>
      </c>
    </row>
    <row r="22" spans="2:11" ht="18" customHeight="1">
      <c r="B22" s="17" t="s">
        <v>44</v>
      </c>
      <c r="C22" s="18">
        <v>0</v>
      </c>
      <c r="D22" s="18">
        <v>8</v>
      </c>
      <c r="E22" s="18">
        <v>1</v>
      </c>
      <c r="F22" s="18">
        <v>9</v>
      </c>
      <c r="G22" s="19">
        <v>0.96256684491978595</v>
      </c>
      <c r="H22" s="18">
        <v>0</v>
      </c>
      <c r="I22" s="18">
        <v>50900</v>
      </c>
      <c r="J22" s="20" t="s">
        <v>45</v>
      </c>
      <c r="K22" s="21" t="s">
        <v>24</v>
      </c>
    </row>
    <row r="23" spans="2:11" ht="18" customHeight="1">
      <c r="B23" s="22" t="s">
        <v>46</v>
      </c>
      <c r="C23" s="23">
        <v>0</v>
      </c>
      <c r="D23" s="23">
        <v>0</v>
      </c>
      <c r="E23" s="23">
        <v>1</v>
      </c>
      <c r="F23" s="23">
        <v>1</v>
      </c>
      <c r="G23" s="24">
        <v>0.10695187165775399</v>
      </c>
      <c r="H23" s="23">
        <v>0</v>
      </c>
      <c r="I23" s="23">
        <v>4500</v>
      </c>
      <c r="J23" s="29" t="s">
        <v>47</v>
      </c>
      <c r="K23" s="26" t="s">
        <v>27</v>
      </c>
    </row>
    <row r="24" spans="2:11" ht="19.5" customHeight="1">
      <c r="B24" s="30" t="s">
        <v>48</v>
      </c>
      <c r="C24" s="31">
        <v>355</v>
      </c>
      <c r="D24" s="31">
        <v>327</v>
      </c>
      <c r="E24" s="31">
        <v>253</v>
      </c>
      <c r="F24" s="31">
        <v>935</v>
      </c>
      <c r="G24" s="32">
        <v>100</v>
      </c>
      <c r="H24" s="31">
        <v>935</v>
      </c>
      <c r="I24" s="31">
        <v>3719097</v>
      </c>
    </row>
  </sheetData>
  <mergeCells count="23">
    <mergeCell ref="B10:K10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6:C6"/>
    <mergeCell ref="D6:E6"/>
    <mergeCell ref="F6:G6"/>
    <mergeCell ref="H6:I6"/>
    <mergeCell ref="J6:K6"/>
    <mergeCell ref="B2:K2"/>
    <mergeCell ref="B3:K3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topLeftCell="A9" zoomScaleNormal="100" workbookViewId="0"/>
  </sheetViews>
  <sheetFormatPr defaultColWidth="8.7109375" defaultRowHeight="15" customHeight="1"/>
  <cols>
    <col min="1" max="1" width="2" customWidth="1"/>
    <col min="2" max="2" width="18" customWidth="1"/>
    <col min="3" max="6" width="9" customWidth="1"/>
    <col min="7" max="8" width="11" customWidth="1"/>
    <col min="9" max="13" width="13" customWidth="1"/>
    <col min="14" max="14" width="11" customWidth="1"/>
  </cols>
  <sheetData>
    <row r="2" spans="2:14" ht="31.5" customHeight="1">
      <c r="B2" s="73" t="s">
        <v>49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4" spans="2:14" ht="36" customHeight="1">
      <c r="B4" s="15" t="s">
        <v>13</v>
      </c>
      <c r="C4" s="16" t="s">
        <v>50</v>
      </c>
      <c r="D4" s="16" t="s">
        <v>51</v>
      </c>
      <c r="E4" s="16" t="s">
        <v>52</v>
      </c>
      <c r="F4" s="15" t="s">
        <v>53</v>
      </c>
      <c r="G4" s="16" t="s">
        <v>54</v>
      </c>
      <c r="H4" s="16" t="s">
        <v>55</v>
      </c>
      <c r="I4" s="16" t="s">
        <v>56</v>
      </c>
      <c r="J4" s="16" t="s">
        <v>57</v>
      </c>
      <c r="K4" s="16" t="s">
        <v>58</v>
      </c>
      <c r="L4" s="15" t="s">
        <v>4</v>
      </c>
      <c r="M4" s="15" t="s">
        <v>59</v>
      </c>
      <c r="N4" s="15" t="s">
        <v>18</v>
      </c>
    </row>
    <row r="5" spans="2:14" ht="18" customHeight="1">
      <c r="B5" s="33" t="s">
        <v>22</v>
      </c>
      <c r="C5" s="18">
        <v>152</v>
      </c>
      <c r="D5" s="18">
        <v>139</v>
      </c>
      <c r="E5" s="18">
        <v>29</v>
      </c>
      <c r="F5" s="18">
        <v>320</v>
      </c>
      <c r="G5" s="20" t="s">
        <v>60</v>
      </c>
      <c r="H5" s="20" t="s">
        <v>61</v>
      </c>
      <c r="I5" s="18">
        <v>508780</v>
      </c>
      <c r="J5" s="18">
        <v>435200</v>
      </c>
      <c r="K5" s="18">
        <v>100500</v>
      </c>
      <c r="L5" s="18">
        <v>1044480</v>
      </c>
      <c r="M5" s="18">
        <v>3264</v>
      </c>
      <c r="N5" s="19">
        <v>34.224598930481299</v>
      </c>
    </row>
    <row r="6" spans="2:14" ht="18" customHeight="1">
      <c r="B6" s="34" t="s">
        <v>25</v>
      </c>
      <c r="C6" s="23">
        <v>63</v>
      </c>
      <c r="D6" s="23">
        <v>36</v>
      </c>
      <c r="E6" s="23">
        <v>99</v>
      </c>
      <c r="F6" s="23">
        <v>198</v>
      </c>
      <c r="G6" s="28" t="s">
        <v>62</v>
      </c>
      <c r="H6" s="25" t="s">
        <v>63</v>
      </c>
      <c r="I6" s="23">
        <v>426109</v>
      </c>
      <c r="J6" s="23">
        <v>152600</v>
      </c>
      <c r="K6" s="23">
        <v>571700</v>
      </c>
      <c r="L6" s="23">
        <v>1150409</v>
      </c>
      <c r="M6" s="23">
        <v>5810.1464646464701</v>
      </c>
      <c r="N6" s="24">
        <v>21.176470588235301</v>
      </c>
    </row>
    <row r="7" spans="2:14" ht="18" customHeight="1">
      <c r="B7" s="33" t="s">
        <v>28</v>
      </c>
      <c r="C7" s="18">
        <v>27</v>
      </c>
      <c r="D7" s="18">
        <v>33</v>
      </c>
      <c r="E7" s="18">
        <v>42</v>
      </c>
      <c r="F7" s="18">
        <v>102</v>
      </c>
      <c r="G7" s="27" t="s">
        <v>64</v>
      </c>
      <c r="H7" s="27" t="s">
        <v>65</v>
      </c>
      <c r="I7" s="18">
        <v>105200</v>
      </c>
      <c r="J7" s="18">
        <v>118200</v>
      </c>
      <c r="K7" s="18">
        <v>179200</v>
      </c>
      <c r="L7" s="18">
        <v>402600</v>
      </c>
      <c r="M7" s="18">
        <v>3947.0588235294099</v>
      </c>
      <c r="N7" s="19">
        <v>10.909090909090899</v>
      </c>
    </row>
    <row r="8" spans="2:14" ht="18" customHeight="1">
      <c r="B8" s="34" t="s">
        <v>30</v>
      </c>
      <c r="C8" s="23">
        <v>38</v>
      </c>
      <c r="D8" s="23">
        <v>17</v>
      </c>
      <c r="E8" s="23">
        <v>13</v>
      </c>
      <c r="F8" s="23">
        <v>68</v>
      </c>
      <c r="G8" s="28" t="s">
        <v>66</v>
      </c>
      <c r="H8" s="28" t="s">
        <v>67</v>
      </c>
      <c r="I8" s="23">
        <v>109200</v>
      </c>
      <c r="J8" s="23">
        <v>52200</v>
      </c>
      <c r="K8" s="23">
        <v>35000</v>
      </c>
      <c r="L8" s="23">
        <v>196400</v>
      </c>
      <c r="M8" s="23">
        <v>2888.23529411765</v>
      </c>
      <c r="N8" s="24">
        <v>7.2727272727272698</v>
      </c>
    </row>
    <row r="9" spans="2:14" ht="18" customHeight="1">
      <c r="B9" s="33" t="s">
        <v>32</v>
      </c>
      <c r="C9" s="18">
        <v>26</v>
      </c>
      <c r="D9" s="18">
        <v>17</v>
      </c>
      <c r="E9" s="18">
        <v>23</v>
      </c>
      <c r="F9" s="18">
        <v>66</v>
      </c>
      <c r="G9" s="20" t="s">
        <v>68</v>
      </c>
      <c r="H9" s="27" t="s">
        <v>64</v>
      </c>
      <c r="I9" s="18">
        <v>128800</v>
      </c>
      <c r="J9" s="18">
        <v>47800</v>
      </c>
      <c r="K9" s="18">
        <v>70400</v>
      </c>
      <c r="L9" s="18">
        <v>247000</v>
      </c>
      <c r="M9" s="18">
        <v>3742.4242424242402</v>
      </c>
      <c r="N9" s="19">
        <v>7.0588235294117601</v>
      </c>
    </row>
    <row r="10" spans="2:14" ht="18" customHeight="1">
      <c r="B10" s="34" t="s">
        <v>34</v>
      </c>
      <c r="C10" s="23">
        <v>16</v>
      </c>
      <c r="D10" s="23">
        <v>22</v>
      </c>
      <c r="E10" s="23">
        <v>23</v>
      </c>
      <c r="F10" s="23">
        <v>61</v>
      </c>
      <c r="G10" s="25" t="s">
        <v>64</v>
      </c>
      <c r="H10" s="25" t="s">
        <v>69</v>
      </c>
      <c r="I10" s="23">
        <v>72108</v>
      </c>
      <c r="J10" s="23">
        <v>121700</v>
      </c>
      <c r="K10" s="23">
        <v>90700</v>
      </c>
      <c r="L10" s="23">
        <v>284508</v>
      </c>
      <c r="M10" s="23">
        <v>4664.0655737704901</v>
      </c>
      <c r="N10" s="24">
        <v>6.5240641711230003</v>
      </c>
    </row>
    <row r="11" spans="2:14" ht="18" customHeight="1">
      <c r="B11" s="33" t="s">
        <v>36</v>
      </c>
      <c r="C11" s="18">
        <v>20</v>
      </c>
      <c r="D11" s="18">
        <v>25</v>
      </c>
      <c r="E11" s="18">
        <v>11</v>
      </c>
      <c r="F11" s="18">
        <v>56</v>
      </c>
      <c r="G11" s="27" t="s">
        <v>70</v>
      </c>
      <c r="H11" s="20" t="s">
        <v>71</v>
      </c>
      <c r="I11" s="18">
        <v>56100</v>
      </c>
      <c r="J11" s="18">
        <v>81400</v>
      </c>
      <c r="K11" s="18">
        <v>29200</v>
      </c>
      <c r="L11" s="18">
        <v>166700</v>
      </c>
      <c r="M11" s="18">
        <v>2976.7857142857101</v>
      </c>
      <c r="N11" s="19">
        <v>5.9893048128342299</v>
      </c>
    </row>
    <row r="12" spans="2:14" ht="18" customHeight="1">
      <c r="B12" s="34" t="s">
        <v>38</v>
      </c>
      <c r="C12" s="23">
        <v>9</v>
      </c>
      <c r="D12" s="23">
        <v>10</v>
      </c>
      <c r="E12" s="23">
        <v>2</v>
      </c>
      <c r="F12" s="23">
        <v>21</v>
      </c>
      <c r="G12" s="25" t="s">
        <v>69</v>
      </c>
      <c r="H12" s="28" t="s">
        <v>72</v>
      </c>
      <c r="I12" s="23">
        <v>35900</v>
      </c>
      <c r="J12" s="23">
        <v>26600</v>
      </c>
      <c r="K12" s="23">
        <v>5200</v>
      </c>
      <c r="L12" s="23">
        <v>67700</v>
      </c>
      <c r="M12" s="23">
        <v>3223.8095238095202</v>
      </c>
      <c r="N12" s="24">
        <v>2.2459893048128299</v>
      </c>
    </row>
    <row r="13" spans="2:14" ht="18" customHeight="1">
      <c r="B13" s="33" t="s">
        <v>40</v>
      </c>
      <c r="C13" s="18">
        <v>0</v>
      </c>
      <c r="D13" s="18">
        <v>14</v>
      </c>
      <c r="E13" s="18">
        <v>6</v>
      </c>
      <c r="F13" s="18">
        <v>20</v>
      </c>
      <c r="G13" s="27" t="s">
        <v>73</v>
      </c>
      <c r="H13" s="20" t="s">
        <v>72</v>
      </c>
      <c r="I13" s="18">
        <v>0</v>
      </c>
      <c r="J13" s="18">
        <v>39500</v>
      </c>
      <c r="K13" s="18">
        <v>16800</v>
      </c>
      <c r="L13" s="18">
        <v>56300</v>
      </c>
      <c r="M13" s="18">
        <v>2815</v>
      </c>
      <c r="N13" s="19">
        <v>2.1390374331550799</v>
      </c>
    </row>
    <row r="14" spans="2:14" ht="18" customHeight="1">
      <c r="B14" s="34" t="s">
        <v>42</v>
      </c>
      <c r="C14" s="23">
        <v>4</v>
      </c>
      <c r="D14" s="23">
        <v>6</v>
      </c>
      <c r="E14" s="23">
        <v>3</v>
      </c>
      <c r="F14" s="23">
        <v>13</v>
      </c>
      <c r="G14" s="25" t="s">
        <v>74</v>
      </c>
      <c r="H14" s="28" t="s">
        <v>75</v>
      </c>
      <c r="I14" s="23">
        <v>12900</v>
      </c>
      <c r="J14" s="23">
        <v>23800</v>
      </c>
      <c r="K14" s="23">
        <v>10900</v>
      </c>
      <c r="L14" s="23">
        <v>47600</v>
      </c>
      <c r="M14" s="23">
        <v>3661.5384615384601</v>
      </c>
      <c r="N14" s="24">
        <v>1.3903743315507999</v>
      </c>
    </row>
    <row r="15" spans="2:14" ht="18" customHeight="1">
      <c r="B15" s="33" t="s">
        <v>76</v>
      </c>
      <c r="C15" s="18">
        <v>0</v>
      </c>
      <c r="D15" s="18">
        <v>8</v>
      </c>
      <c r="E15" s="18">
        <v>1</v>
      </c>
      <c r="F15" s="18">
        <v>9</v>
      </c>
      <c r="G15" s="27" t="s">
        <v>77</v>
      </c>
      <c r="H15" s="20" t="s">
        <v>78</v>
      </c>
      <c r="I15" s="18">
        <v>0</v>
      </c>
      <c r="J15" s="18">
        <v>46400</v>
      </c>
      <c r="K15" s="18">
        <v>4500</v>
      </c>
      <c r="L15" s="18">
        <v>50900</v>
      </c>
      <c r="M15" s="18">
        <v>5655.5555555555602</v>
      </c>
      <c r="N15" s="19">
        <v>0.96256684491978595</v>
      </c>
    </row>
    <row r="16" spans="2:14" ht="18" customHeight="1">
      <c r="B16" s="34" t="s">
        <v>46</v>
      </c>
      <c r="C16" s="23">
        <v>0</v>
      </c>
      <c r="D16" s="23">
        <v>0</v>
      </c>
      <c r="E16" s="23">
        <v>1</v>
      </c>
      <c r="F16" s="23">
        <v>1</v>
      </c>
      <c r="G16" s="25" t="s">
        <v>79</v>
      </c>
      <c r="H16" s="25" t="s">
        <v>69</v>
      </c>
      <c r="I16" s="23">
        <v>0</v>
      </c>
      <c r="J16" s="23">
        <v>0</v>
      </c>
      <c r="K16" s="23">
        <v>4500</v>
      </c>
      <c r="L16" s="23">
        <v>4500</v>
      </c>
      <c r="M16" s="23">
        <v>4500</v>
      </c>
      <c r="N16" s="24">
        <v>0.10695187165775399</v>
      </c>
    </row>
  </sheetData>
  <mergeCells count="1">
    <mergeCell ref="B2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3"/>
  <sheetViews>
    <sheetView showGridLines="0" zoomScaleNormal="100" workbookViewId="0">
      <selection activeCell="K15" sqref="K15"/>
    </sheetView>
  </sheetViews>
  <sheetFormatPr defaultColWidth="8.7109375" defaultRowHeight="15" customHeight="1"/>
  <cols>
    <col min="1" max="1" width="2" customWidth="1"/>
    <col min="2" max="2" width="5" customWidth="1"/>
    <col min="3" max="3" width="14" customWidth="1"/>
    <col min="4" max="4" width="9" customWidth="1"/>
    <col min="5" max="6" width="10" customWidth="1"/>
    <col min="7" max="8" width="14" customWidth="1"/>
    <col min="9" max="9" width="12" customWidth="1"/>
  </cols>
  <sheetData>
    <row r="2" spans="2:9" ht="31.5" customHeight="1">
      <c r="B2" s="73" t="s">
        <v>80</v>
      </c>
      <c r="C2" s="73"/>
      <c r="D2" s="73"/>
      <c r="E2" s="73"/>
      <c r="F2" s="73"/>
      <c r="G2" s="73"/>
      <c r="H2" s="73"/>
      <c r="I2" s="73"/>
    </row>
    <row r="4" spans="2:9" ht="24" customHeight="1">
      <c r="B4" s="15" t="s">
        <v>81</v>
      </c>
      <c r="C4" s="15" t="s">
        <v>82</v>
      </c>
      <c r="D4" s="15" t="s">
        <v>83</v>
      </c>
      <c r="E4" s="15" t="s">
        <v>18</v>
      </c>
      <c r="F4" s="15" t="s">
        <v>84</v>
      </c>
      <c r="G4" s="15" t="s">
        <v>85</v>
      </c>
      <c r="H4" s="15" t="s">
        <v>86</v>
      </c>
      <c r="I4" s="15" t="s">
        <v>87</v>
      </c>
    </row>
    <row r="5" spans="2:9" ht="18" customHeight="1">
      <c r="B5" s="35">
        <v>1</v>
      </c>
      <c r="C5" s="36" t="s">
        <v>88</v>
      </c>
      <c r="D5" s="37">
        <v>167</v>
      </c>
      <c r="E5" s="38">
        <v>17.860962566844901</v>
      </c>
      <c r="F5" s="37">
        <v>372</v>
      </c>
      <c r="G5" s="37">
        <v>784100</v>
      </c>
      <c r="H5" s="37">
        <v>4695.2095808383201</v>
      </c>
      <c r="I5" s="39">
        <v>2.2275449101796401</v>
      </c>
    </row>
    <row r="6" spans="2:9" ht="18" customHeight="1">
      <c r="B6" s="35">
        <v>2</v>
      </c>
      <c r="C6" s="36" t="s">
        <v>89</v>
      </c>
      <c r="D6" s="37">
        <v>111</v>
      </c>
      <c r="E6" s="38">
        <v>11.8716577540107</v>
      </c>
      <c r="F6" s="37">
        <v>177</v>
      </c>
      <c r="G6" s="37">
        <v>405300</v>
      </c>
      <c r="H6" s="37">
        <v>3651.3513513513499</v>
      </c>
      <c r="I6" s="39">
        <v>1.5945945945946001</v>
      </c>
    </row>
    <row r="7" spans="2:9" ht="18" customHeight="1">
      <c r="B7" s="35">
        <v>3</v>
      </c>
      <c r="C7" s="36" t="s">
        <v>90</v>
      </c>
      <c r="D7" s="37">
        <v>111</v>
      </c>
      <c r="E7" s="38">
        <v>11.8716577540107</v>
      </c>
      <c r="F7" s="37">
        <v>209</v>
      </c>
      <c r="G7" s="37">
        <v>389100</v>
      </c>
      <c r="H7" s="37">
        <v>3505.40540540541</v>
      </c>
      <c r="I7" s="39">
        <v>1.8828828828828801</v>
      </c>
    </row>
    <row r="8" spans="2:9" ht="18" customHeight="1">
      <c r="B8" s="40">
        <v>4</v>
      </c>
      <c r="C8" s="41" t="s">
        <v>91</v>
      </c>
      <c r="D8" s="42">
        <v>60</v>
      </c>
      <c r="E8" s="43">
        <v>6.4171122994652396</v>
      </c>
      <c r="F8" s="42">
        <v>132</v>
      </c>
      <c r="G8" s="42">
        <v>221000</v>
      </c>
      <c r="H8" s="42">
        <v>3683.3333333333298</v>
      </c>
      <c r="I8" s="44">
        <v>2.2000000000000002</v>
      </c>
    </row>
    <row r="9" spans="2:9" ht="18" customHeight="1">
      <c r="B9" s="40">
        <v>5</v>
      </c>
      <c r="C9" s="41" t="s">
        <v>92</v>
      </c>
      <c r="D9" s="42">
        <v>55</v>
      </c>
      <c r="E9" s="43">
        <v>5.8823529411764701</v>
      </c>
      <c r="F9" s="42">
        <v>120</v>
      </c>
      <c r="G9" s="42">
        <v>173000</v>
      </c>
      <c r="H9" s="42">
        <v>3145.45454545455</v>
      </c>
      <c r="I9" s="44">
        <v>2.1818181818181799</v>
      </c>
    </row>
    <row r="10" spans="2:9" ht="18" customHeight="1">
      <c r="B10" s="26">
        <v>6</v>
      </c>
      <c r="C10" s="34" t="s">
        <v>93</v>
      </c>
      <c r="D10" s="23">
        <v>50</v>
      </c>
      <c r="E10" s="24">
        <v>5.3475935828876997</v>
      </c>
      <c r="F10" s="23">
        <v>126</v>
      </c>
      <c r="G10" s="23">
        <v>132500</v>
      </c>
      <c r="H10" s="23">
        <v>2650</v>
      </c>
      <c r="I10" s="45">
        <v>2.52</v>
      </c>
    </row>
    <row r="11" spans="2:9" ht="18" customHeight="1">
      <c r="B11" s="21">
        <v>7</v>
      </c>
      <c r="C11" s="33" t="s">
        <v>94</v>
      </c>
      <c r="D11" s="18">
        <v>50</v>
      </c>
      <c r="E11" s="19">
        <v>5.3475935828876997</v>
      </c>
      <c r="F11" s="18">
        <v>89</v>
      </c>
      <c r="G11" s="18">
        <v>140400</v>
      </c>
      <c r="H11" s="18">
        <v>2808</v>
      </c>
      <c r="I11" s="46">
        <v>1.78</v>
      </c>
    </row>
    <row r="12" spans="2:9" ht="18" customHeight="1">
      <c r="B12" s="26">
        <v>8</v>
      </c>
      <c r="C12" s="34" t="s">
        <v>95</v>
      </c>
      <c r="D12" s="23">
        <v>47</v>
      </c>
      <c r="E12" s="24">
        <v>5.0267379679144399</v>
      </c>
      <c r="F12" s="23">
        <v>348</v>
      </c>
      <c r="G12" s="23">
        <v>411700</v>
      </c>
      <c r="H12" s="23">
        <v>8759.5744680851094</v>
      </c>
      <c r="I12" s="45">
        <v>7.4042553191489402</v>
      </c>
    </row>
    <row r="13" spans="2:9" ht="18" customHeight="1">
      <c r="B13" s="21">
        <v>9</v>
      </c>
      <c r="C13" s="33" t="s">
        <v>96</v>
      </c>
      <c r="D13" s="18">
        <v>35</v>
      </c>
      <c r="E13" s="19">
        <v>3.7433155080213898</v>
      </c>
      <c r="F13" s="18">
        <v>269</v>
      </c>
      <c r="G13" s="18">
        <v>134508</v>
      </c>
      <c r="H13" s="18">
        <v>3843.0857142857099</v>
      </c>
      <c r="I13" s="46">
        <v>7.6857142857142904</v>
      </c>
    </row>
    <row r="14" spans="2:9" ht="18" customHeight="1">
      <c r="B14" s="26">
        <v>10</v>
      </c>
      <c r="C14" s="34" t="s">
        <v>97</v>
      </c>
      <c r="D14" s="23">
        <v>29</v>
      </c>
      <c r="E14" s="24">
        <v>3.1016042780748698</v>
      </c>
      <c r="F14" s="23">
        <v>47</v>
      </c>
      <c r="G14" s="23">
        <v>91200</v>
      </c>
      <c r="H14" s="23">
        <v>3144.8275862068999</v>
      </c>
      <c r="I14" s="45">
        <v>1.6206896551724099</v>
      </c>
    </row>
    <row r="15" spans="2:9" ht="18" customHeight="1">
      <c r="B15" s="21">
        <v>11</v>
      </c>
      <c r="C15" s="33" t="s">
        <v>98</v>
      </c>
      <c r="D15" s="18">
        <v>26</v>
      </c>
      <c r="E15" s="19">
        <v>2.7807486631015998</v>
      </c>
      <c r="F15" s="18">
        <v>197</v>
      </c>
      <c r="G15" s="18">
        <v>137900</v>
      </c>
      <c r="H15" s="18">
        <v>5303.8461538461497</v>
      </c>
      <c r="I15" s="46">
        <v>7.5769230769230802</v>
      </c>
    </row>
    <row r="16" spans="2:9" ht="18" customHeight="1">
      <c r="B16" s="26">
        <v>12</v>
      </c>
      <c r="C16" s="34" t="s">
        <v>99</v>
      </c>
      <c r="D16" s="23">
        <v>21</v>
      </c>
      <c r="E16" s="24">
        <v>2.2459893048128299</v>
      </c>
      <c r="F16" s="23">
        <v>49</v>
      </c>
      <c r="G16" s="23">
        <v>60209</v>
      </c>
      <c r="H16" s="23">
        <v>2867.0952380952399</v>
      </c>
      <c r="I16" s="45">
        <v>2.3333333333333299</v>
      </c>
    </row>
    <row r="17" spans="2:9" ht="18" customHeight="1">
      <c r="B17" s="21">
        <v>13</v>
      </c>
      <c r="C17" s="33" t="s">
        <v>100</v>
      </c>
      <c r="D17" s="18">
        <v>15</v>
      </c>
      <c r="E17" s="19">
        <v>1.6042780748663099</v>
      </c>
      <c r="F17" s="18">
        <v>25</v>
      </c>
      <c r="G17" s="18">
        <v>51200</v>
      </c>
      <c r="H17" s="18">
        <v>3413.3333333333298</v>
      </c>
      <c r="I17" s="46">
        <v>1.6666666666666701</v>
      </c>
    </row>
    <row r="18" spans="2:9" ht="18" customHeight="1">
      <c r="B18" s="26">
        <v>14</v>
      </c>
      <c r="C18" s="34" t="s">
        <v>101</v>
      </c>
      <c r="D18" s="23">
        <v>14</v>
      </c>
      <c r="E18" s="24">
        <v>1.4973262032085599</v>
      </c>
      <c r="F18" s="23">
        <v>36</v>
      </c>
      <c r="G18" s="23">
        <v>52200</v>
      </c>
      <c r="H18" s="23">
        <v>3728.5714285714298</v>
      </c>
      <c r="I18" s="45">
        <v>2.5714285714285698</v>
      </c>
    </row>
    <row r="19" spans="2:9" ht="18" customHeight="1">
      <c r="B19" s="21">
        <v>15</v>
      </c>
      <c r="C19" s="33" t="s">
        <v>102</v>
      </c>
      <c r="D19" s="18">
        <v>14</v>
      </c>
      <c r="E19" s="19">
        <v>1.4973262032085599</v>
      </c>
      <c r="F19" s="18">
        <v>37</v>
      </c>
      <c r="G19" s="18">
        <v>39280</v>
      </c>
      <c r="H19" s="18">
        <v>2805.7142857142899</v>
      </c>
      <c r="I19" s="46">
        <v>2.6428571428571401</v>
      </c>
    </row>
    <row r="20" spans="2:9" ht="18" customHeight="1">
      <c r="B20" s="26">
        <v>16</v>
      </c>
      <c r="C20" s="34" t="s">
        <v>103</v>
      </c>
      <c r="D20" s="23">
        <v>12</v>
      </c>
      <c r="E20" s="24">
        <v>1.2834224598930499</v>
      </c>
      <c r="F20" s="23">
        <v>15</v>
      </c>
      <c r="G20" s="23">
        <v>34900</v>
      </c>
      <c r="H20" s="23">
        <v>2908.3333333333298</v>
      </c>
      <c r="I20" s="45">
        <v>1.25</v>
      </c>
    </row>
    <row r="21" spans="2:9" ht="18" customHeight="1">
      <c r="B21" s="21">
        <v>17</v>
      </c>
      <c r="C21" s="33" t="s">
        <v>104</v>
      </c>
      <c r="D21" s="18">
        <v>12</v>
      </c>
      <c r="E21" s="19">
        <v>1.2834224598930499</v>
      </c>
      <c r="F21" s="18">
        <v>15</v>
      </c>
      <c r="G21" s="18">
        <v>37300</v>
      </c>
      <c r="H21" s="18">
        <v>3108.3333333333298</v>
      </c>
      <c r="I21" s="46">
        <v>1.25</v>
      </c>
    </row>
    <row r="22" spans="2:9" ht="18" customHeight="1">
      <c r="B22" s="26">
        <v>18</v>
      </c>
      <c r="C22" s="34" t="s">
        <v>105</v>
      </c>
      <c r="D22" s="23">
        <v>12</v>
      </c>
      <c r="E22" s="24">
        <v>1.2834224598930499</v>
      </c>
      <c r="F22" s="23">
        <v>18</v>
      </c>
      <c r="G22" s="23">
        <v>36300</v>
      </c>
      <c r="H22" s="23">
        <v>3025</v>
      </c>
      <c r="I22" s="45">
        <v>1.5</v>
      </c>
    </row>
    <row r="23" spans="2:9" ht="18" customHeight="1">
      <c r="B23" s="21">
        <v>19</v>
      </c>
      <c r="C23" s="33" t="s">
        <v>106</v>
      </c>
      <c r="D23" s="18">
        <v>10</v>
      </c>
      <c r="E23" s="19">
        <v>1.0695187165775399</v>
      </c>
      <c r="F23" s="18">
        <v>67</v>
      </c>
      <c r="G23" s="18">
        <v>26000</v>
      </c>
      <c r="H23" s="18">
        <v>2600</v>
      </c>
      <c r="I23" s="46">
        <v>6.7</v>
      </c>
    </row>
    <row r="24" spans="2:9" ht="18" customHeight="1">
      <c r="B24" s="26">
        <v>20</v>
      </c>
      <c r="C24" s="34" t="s">
        <v>107</v>
      </c>
      <c r="D24" s="23">
        <v>9</v>
      </c>
      <c r="E24" s="24">
        <v>0.96256684491978595</v>
      </c>
      <c r="F24" s="23">
        <v>26</v>
      </c>
      <c r="G24" s="23">
        <v>44800</v>
      </c>
      <c r="H24" s="23">
        <v>4977.7777777777801</v>
      </c>
      <c r="I24" s="45">
        <v>2.8888888888888902</v>
      </c>
    </row>
    <row r="25" spans="2:9" ht="18" customHeight="1">
      <c r="B25" s="21">
        <v>21</v>
      </c>
      <c r="C25" s="33" t="s">
        <v>108</v>
      </c>
      <c r="D25" s="18">
        <v>9</v>
      </c>
      <c r="E25" s="19">
        <v>0.96256684491978595</v>
      </c>
      <c r="F25" s="18">
        <v>21</v>
      </c>
      <c r="G25" s="18">
        <v>28600</v>
      </c>
      <c r="H25" s="18">
        <v>3177.7777777777801</v>
      </c>
      <c r="I25" s="46">
        <v>2.3333333333333299</v>
      </c>
    </row>
    <row r="26" spans="2:9" ht="18" customHeight="1">
      <c r="B26" s="26">
        <v>22</v>
      </c>
      <c r="C26" s="34" t="s">
        <v>109</v>
      </c>
      <c r="D26" s="23">
        <v>9</v>
      </c>
      <c r="E26" s="24">
        <v>0.96256684491978595</v>
      </c>
      <c r="F26" s="23">
        <v>11</v>
      </c>
      <c r="G26" s="23">
        <v>33500</v>
      </c>
      <c r="H26" s="23">
        <v>3722.2222222222199</v>
      </c>
      <c r="I26" s="45">
        <v>1.2222222222222201</v>
      </c>
    </row>
    <row r="27" spans="2:9" ht="18" customHeight="1">
      <c r="B27" s="21">
        <v>23</v>
      </c>
      <c r="C27" s="33" t="s">
        <v>110</v>
      </c>
      <c r="D27" s="18">
        <v>7</v>
      </c>
      <c r="E27" s="19">
        <v>0.74866310160427796</v>
      </c>
      <c r="F27" s="18">
        <v>12</v>
      </c>
      <c r="G27" s="18">
        <v>29600</v>
      </c>
      <c r="H27" s="18">
        <v>4228.5714285714303</v>
      </c>
      <c r="I27" s="46">
        <v>1.71428571428571</v>
      </c>
    </row>
    <row r="28" spans="2:9" ht="18" customHeight="1">
      <c r="B28" s="26">
        <v>24</v>
      </c>
      <c r="C28" s="34" t="s">
        <v>111</v>
      </c>
      <c r="D28" s="23">
        <v>6</v>
      </c>
      <c r="E28" s="24">
        <v>0.64171122994652396</v>
      </c>
      <c r="F28" s="23">
        <v>6</v>
      </c>
      <c r="G28" s="23">
        <v>24600</v>
      </c>
      <c r="H28" s="23">
        <v>4100</v>
      </c>
      <c r="I28" s="45">
        <v>1</v>
      </c>
    </row>
    <row r="29" spans="2:9" ht="18" customHeight="1">
      <c r="B29" s="21">
        <v>25</v>
      </c>
      <c r="C29" s="33" t="s">
        <v>112</v>
      </c>
      <c r="D29" s="18">
        <v>6</v>
      </c>
      <c r="E29" s="19">
        <v>0.64171122994652396</v>
      </c>
      <c r="F29" s="18">
        <v>8</v>
      </c>
      <c r="G29" s="18">
        <v>26600</v>
      </c>
      <c r="H29" s="18">
        <v>4433.3333333333303</v>
      </c>
      <c r="I29" s="46">
        <v>1.3333333333333299</v>
      </c>
    </row>
    <row r="30" spans="2:9" ht="18" customHeight="1">
      <c r="B30" s="26">
        <v>26</v>
      </c>
      <c r="C30" s="34" t="s">
        <v>113</v>
      </c>
      <c r="D30" s="23">
        <v>6</v>
      </c>
      <c r="E30" s="24">
        <v>0.64171122994652396</v>
      </c>
      <c r="F30" s="23">
        <v>6</v>
      </c>
      <c r="G30" s="23">
        <v>24600</v>
      </c>
      <c r="H30" s="23">
        <v>4100</v>
      </c>
      <c r="I30" s="45">
        <v>1</v>
      </c>
    </row>
    <row r="31" spans="2:9" ht="18" customHeight="1">
      <c r="B31" s="21">
        <v>27</v>
      </c>
      <c r="C31" s="33" t="s">
        <v>114</v>
      </c>
      <c r="D31" s="18">
        <v>5</v>
      </c>
      <c r="E31" s="19">
        <v>0.53475935828876997</v>
      </c>
      <c r="F31" s="18">
        <v>5</v>
      </c>
      <c r="G31" s="18">
        <v>14900</v>
      </c>
      <c r="H31" s="18">
        <v>2980</v>
      </c>
      <c r="I31" s="46">
        <v>1</v>
      </c>
    </row>
    <row r="32" spans="2:9" ht="18" customHeight="1">
      <c r="B32" s="26">
        <v>28</v>
      </c>
      <c r="C32" s="34" t="s">
        <v>115</v>
      </c>
      <c r="D32" s="23">
        <v>5</v>
      </c>
      <c r="E32" s="24">
        <v>0.53475935828876997</v>
      </c>
      <c r="F32" s="23">
        <v>8</v>
      </c>
      <c r="G32" s="23">
        <v>13600</v>
      </c>
      <c r="H32" s="23">
        <v>2720</v>
      </c>
      <c r="I32" s="45">
        <v>1.6</v>
      </c>
    </row>
    <row r="33" spans="2:9" ht="18" customHeight="1">
      <c r="B33" s="21">
        <v>29</v>
      </c>
      <c r="C33" s="33" t="s">
        <v>116</v>
      </c>
      <c r="D33" s="18">
        <v>4</v>
      </c>
      <c r="E33" s="19">
        <v>0.42780748663101598</v>
      </c>
      <c r="F33" s="18">
        <v>41</v>
      </c>
      <c r="G33" s="18">
        <v>20600</v>
      </c>
      <c r="H33" s="18">
        <v>5150</v>
      </c>
      <c r="I33" s="46">
        <v>10.25</v>
      </c>
    </row>
    <row r="34" spans="2:9" ht="18" customHeight="1">
      <c r="B34" s="26">
        <v>30</v>
      </c>
      <c r="C34" s="34" t="s">
        <v>117</v>
      </c>
      <c r="D34" s="23">
        <v>4</v>
      </c>
      <c r="E34" s="24">
        <v>0.42780748663101598</v>
      </c>
      <c r="F34" s="23">
        <v>12</v>
      </c>
      <c r="G34" s="23">
        <v>10400</v>
      </c>
      <c r="H34" s="23">
        <v>2600</v>
      </c>
      <c r="I34" s="45">
        <v>3</v>
      </c>
    </row>
    <row r="35" spans="2:9" ht="18" customHeight="1">
      <c r="B35" s="21">
        <v>31</v>
      </c>
      <c r="C35" s="33" t="s">
        <v>118</v>
      </c>
      <c r="D35" s="18">
        <v>3</v>
      </c>
      <c r="E35" s="19">
        <v>0.32085561497326198</v>
      </c>
      <c r="F35" s="18">
        <v>5</v>
      </c>
      <c r="G35" s="18">
        <v>7800</v>
      </c>
      <c r="H35" s="18">
        <v>2600</v>
      </c>
      <c r="I35" s="46">
        <v>1.6666666666666701</v>
      </c>
    </row>
    <row r="36" spans="2:9" ht="18" customHeight="1">
      <c r="B36" s="26">
        <v>32</v>
      </c>
      <c r="C36" s="34" t="s">
        <v>119</v>
      </c>
      <c r="D36" s="23">
        <v>2</v>
      </c>
      <c r="E36" s="24">
        <v>0.21390374331550799</v>
      </c>
      <c r="F36" s="23">
        <v>2</v>
      </c>
      <c r="G36" s="23">
        <v>7600</v>
      </c>
      <c r="H36" s="23">
        <v>3800</v>
      </c>
      <c r="I36" s="45">
        <v>1</v>
      </c>
    </row>
    <row r="37" spans="2:9" ht="18" customHeight="1">
      <c r="B37" s="21">
        <v>33</v>
      </c>
      <c r="C37" s="33" t="s">
        <v>120</v>
      </c>
      <c r="D37" s="18">
        <v>2</v>
      </c>
      <c r="E37" s="19">
        <v>0.21390374331550799</v>
      </c>
      <c r="F37" s="18">
        <v>3</v>
      </c>
      <c r="G37" s="18">
        <v>5200</v>
      </c>
      <c r="H37" s="18">
        <v>2600</v>
      </c>
      <c r="I37" s="46">
        <v>1.5</v>
      </c>
    </row>
    <row r="38" spans="2:9" ht="18" customHeight="1">
      <c r="B38" s="26">
        <v>34</v>
      </c>
      <c r="C38" s="34" t="s">
        <v>121</v>
      </c>
      <c r="D38" s="23">
        <v>2</v>
      </c>
      <c r="E38" s="24">
        <v>0.21390374331550799</v>
      </c>
      <c r="F38" s="23">
        <v>2</v>
      </c>
      <c r="G38" s="23">
        <v>5200</v>
      </c>
      <c r="H38" s="23">
        <v>2600</v>
      </c>
      <c r="I38" s="45">
        <v>1</v>
      </c>
    </row>
    <row r="39" spans="2:9" ht="18" customHeight="1">
      <c r="B39" s="21">
        <v>35</v>
      </c>
      <c r="C39" s="33" t="s">
        <v>122</v>
      </c>
      <c r="D39" s="18">
        <v>2</v>
      </c>
      <c r="E39" s="19">
        <v>0.21390374331550799</v>
      </c>
      <c r="F39" s="18">
        <v>2</v>
      </c>
      <c r="G39" s="18">
        <v>5200</v>
      </c>
      <c r="H39" s="18">
        <v>2600</v>
      </c>
      <c r="I39" s="46">
        <v>1</v>
      </c>
    </row>
    <row r="40" spans="2:9" ht="18" customHeight="1">
      <c r="B40" s="26">
        <v>36</v>
      </c>
      <c r="C40" s="34" t="s">
        <v>123</v>
      </c>
      <c r="D40" s="23">
        <v>1</v>
      </c>
      <c r="E40" s="24">
        <v>0.10695187165775399</v>
      </c>
      <c r="F40" s="23">
        <v>1</v>
      </c>
      <c r="G40" s="23">
        <v>5000</v>
      </c>
      <c r="H40" s="23">
        <v>5000</v>
      </c>
      <c r="I40" s="45">
        <v>1</v>
      </c>
    </row>
    <row r="41" spans="2:9" ht="18" customHeight="1">
      <c r="B41" s="21">
        <v>37</v>
      </c>
      <c r="C41" s="33" t="s">
        <v>124</v>
      </c>
      <c r="D41" s="18">
        <v>1</v>
      </c>
      <c r="E41" s="19">
        <v>0.10695187165775399</v>
      </c>
      <c r="F41" s="18">
        <v>2</v>
      </c>
      <c r="G41" s="18">
        <v>50000</v>
      </c>
      <c r="H41" s="18">
        <v>50000</v>
      </c>
      <c r="I41" s="46">
        <v>2</v>
      </c>
    </row>
    <row r="42" spans="2:9" ht="18" customHeight="1">
      <c r="B42" s="26">
        <v>38</v>
      </c>
      <c r="C42" s="34" t="s">
        <v>125</v>
      </c>
      <c r="D42" s="23">
        <v>1</v>
      </c>
      <c r="E42" s="24">
        <v>0.10695187165775399</v>
      </c>
      <c r="F42" s="23">
        <v>1</v>
      </c>
      <c r="G42" s="23">
        <v>3200</v>
      </c>
      <c r="H42" s="23">
        <v>3200</v>
      </c>
      <c r="I42" s="45">
        <v>1</v>
      </c>
    </row>
    <row r="43" spans="2:9" ht="19.5" customHeight="1">
      <c r="B43" s="47"/>
      <c r="C43" s="48" t="s">
        <v>48</v>
      </c>
      <c r="D43" s="31">
        <v>935</v>
      </c>
      <c r="E43" s="32">
        <v>100</v>
      </c>
      <c r="F43" s="31">
        <v>2522</v>
      </c>
      <c r="G43" s="31">
        <v>3719097</v>
      </c>
      <c r="H43" s="49"/>
      <c r="I43" s="49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51"/>
  <sheetViews>
    <sheetView showGridLines="0" topLeftCell="A8" zoomScaleNormal="100" workbookViewId="0">
      <selection activeCell="K32" sqref="K32"/>
    </sheetView>
  </sheetViews>
  <sheetFormatPr defaultColWidth="8.7109375" defaultRowHeight="15" customHeight="1"/>
  <cols>
    <col min="1" max="1" width="2" customWidth="1"/>
    <col min="2" max="2" width="14" customWidth="1"/>
    <col min="3" max="3" width="8" customWidth="1"/>
    <col min="4" max="5" width="9" customWidth="1"/>
    <col min="6" max="6" width="14" customWidth="1"/>
    <col min="7" max="7" width="12" customWidth="1"/>
  </cols>
  <sheetData>
    <row r="2" spans="2:7" ht="31.5" customHeight="1">
      <c r="B2" s="73" t="s">
        <v>126</v>
      </c>
      <c r="C2" s="73"/>
      <c r="D2" s="73"/>
      <c r="E2" s="73"/>
      <c r="F2" s="73"/>
      <c r="G2" s="73"/>
    </row>
    <row r="4" spans="2:7" ht="21.75" customHeight="1">
      <c r="B4" s="15" t="s">
        <v>127</v>
      </c>
      <c r="C4" s="15" t="s">
        <v>128</v>
      </c>
      <c r="D4" s="15" t="s">
        <v>83</v>
      </c>
      <c r="E4" s="15" t="s">
        <v>84</v>
      </c>
      <c r="F4" s="15" t="s">
        <v>85</v>
      </c>
      <c r="G4" s="15" t="s">
        <v>129</v>
      </c>
    </row>
    <row r="5" spans="2:7" ht="15.75" customHeight="1">
      <c r="B5" s="50" t="s">
        <v>130</v>
      </c>
      <c r="C5" s="51" t="s">
        <v>131</v>
      </c>
      <c r="D5" s="18">
        <v>2</v>
      </c>
      <c r="E5" s="18">
        <v>3</v>
      </c>
      <c r="F5" s="18">
        <v>55000</v>
      </c>
      <c r="G5" s="18">
        <v>2</v>
      </c>
    </row>
    <row r="6" spans="2:7" ht="15.75" customHeight="1">
      <c r="B6" s="50" t="s">
        <v>132</v>
      </c>
      <c r="C6" s="51" t="s">
        <v>131</v>
      </c>
      <c r="D6" s="18">
        <v>9</v>
      </c>
      <c r="E6" s="18">
        <v>9</v>
      </c>
      <c r="F6" s="18">
        <v>16489</v>
      </c>
      <c r="G6" s="18">
        <v>11</v>
      </c>
    </row>
    <row r="7" spans="2:7" ht="15.75" customHeight="1">
      <c r="B7" s="52" t="s">
        <v>133</v>
      </c>
      <c r="C7" s="53" t="s">
        <v>134</v>
      </c>
      <c r="D7" s="54">
        <v>73</v>
      </c>
      <c r="E7" s="54">
        <v>325</v>
      </c>
      <c r="F7" s="54">
        <v>215708</v>
      </c>
      <c r="G7" s="54">
        <v>84</v>
      </c>
    </row>
    <row r="8" spans="2:7" ht="15.75" customHeight="1">
      <c r="B8" s="50" t="s">
        <v>135</v>
      </c>
      <c r="C8" s="51" t="s">
        <v>131</v>
      </c>
      <c r="D8" s="18">
        <v>8</v>
      </c>
      <c r="E8" s="18">
        <v>34</v>
      </c>
      <c r="F8" s="18">
        <v>20800</v>
      </c>
      <c r="G8" s="18">
        <v>92</v>
      </c>
    </row>
    <row r="9" spans="2:7" ht="15.75" customHeight="1">
      <c r="B9" s="50" t="s">
        <v>136</v>
      </c>
      <c r="C9" s="51" t="s">
        <v>131</v>
      </c>
      <c r="D9" s="18">
        <v>43</v>
      </c>
      <c r="E9" s="18">
        <v>46</v>
      </c>
      <c r="F9" s="18">
        <v>179500</v>
      </c>
      <c r="G9" s="18">
        <v>135</v>
      </c>
    </row>
    <row r="10" spans="2:7" ht="15.75" customHeight="1">
      <c r="B10" s="50" t="s">
        <v>137</v>
      </c>
      <c r="C10" s="51" t="s">
        <v>131</v>
      </c>
      <c r="D10" s="18">
        <v>17</v>
      </c>
      <c r="E10" s="18">
        <v>17</v>
      </c>
      <c r="F10" s="18">
        <v>50600</v>
      </c>
      <c r="G10" s="18">
        <v>152</v>
      </c>
    </row>
    <row r="11" spans="2:7" ht="15.75" customHeight="1">
      <c r="B11" s="50" t="s">
        <v>138</v>
      </c>
      <c r="C11" s="51" t="s">
        <v>131</v>
      </c>
      <c r="D11" s="18">
        <v>30</v>
      </c>
      <c r="E11" s="18">
        <v>85</v>
      </c>
      <c r="F11" s="18">
        <v>109000</v>
      </c>
      <c r="G11" s="18">
        <v>182</v>
      </c>
    </row>
    <row r="12" spans="2:7" ht="15.75" customHeight="1">
      <c r="B12" s="52" t="s">
        <v>139</v>
      </c>
      <c r="C12" s="53" t="s">
        <v>134</v>
      </c>
      <c r="D12" s="54">
        <v>83</v>
      </c>
      <c r="E12" s="54">
        <v>265</v>
      </c>
      <c r="F12" s="54">
        <v>374200</v>
      </c>
      <c r="G12" s="54">
        <v>265</v>
      </c>
    </row>
    <row r="13" spans="2:7" ht="15.75" customHeight="1">
      <c r="B13" s="50" t="s">
        <v>140</v>
      </c>
      <c r="C13" s="51" t="s">
        <v>131</v>
      </c>
      <c r="D13" s="18">
        <v>4</v>
      </c>
      <c r="E13" s="18">
        <v>4</v>
      </c>
      <c r="F13" s="18">
        <v>161100</v>
      </c>
      <c r="G13" s="18">
        <v>269</v>
      </c>
    </row>
    <row r="14" spans="2:7" ht="15.75" customHeight="1">
      <c r="B14" s="52" t="s">
        <v>141</v>
      </c>
      <c r="C14" s="53" t="s">
        <v>134</v>
      </c>
      <c r="D14" s="54">
        <v>51</v>
      </c>
      <c r="E14" s="54">
        <v>160</v>
      </c>
      <c r="F14" s="54">
        <v>171500</v>
      </c>
      <c r="G14" s="54">
        <v>320</v>
      </c>
    </row>
    <row r="15" spans="2:7" ht="15.75" customHeight="1">
      <c r="B15" s="50" t="s">
        <v>142</v>
      </c>
      <c r="C15" s="51" t="s">
        <v>131</v>
      </c>
      <c r="D15" s="18">
        <v>18</v>
      </c>
      <c r="E15" s="18">
        <v>18</v>
      </c>
      <c r="F15" s="18">
        <v>49900</v>
      </c>
      <c r="G15" s="18">
        <v>338</v>
      </c>
    </row>
    <row r="16" spans="2:7" ht="15.75" customHeight="1">
      <c r="B16" s="50" t="s">
        <v>143</v>
      </c>
      <c r="C16" s="51" t="s">
        <v>131</v>
      </c>
      <c r="D16" s="18">
        <v>17</v>
      </c>
      <c r="E16" s="18">
        <v>42</v>
      </c>
      <c r="F16" s="18">
        <v>51300</v>
      </c>
      <c r="G16" s="18">
        <v>355</v>
      </c>
    </row>
    <row r="17" spans="2:7" ht="15.75" customHeight="1">
      <c r="B17" s="55" t="s">
        <v>144</v>
      </c>
      <c r="C17" s="56" t="s">
        <v>145</v>
      </c>
      <c r="D17" s="57">
        <v>17</v>
      </c>
      <c r="E17" s="57">
        <v>56</v>
      </c>
      <c r="F17" s="57">
        <v>49400</v>
      </c>
      <c r="G17" s="57">
        <v>372</v>
      </c>
    </row>
    <row r="18" spans="2:7" ht="15.75" customHeight="1">
      <c r="B18" s="55" t="s">
        <v>146</v>
      </c>
      <c r="C18" s="56" t="s">
        <v>145</v>
      </c>
      <c r="D18" s="57">
        <v>15</v>
      </c>
      <c r="E18" s="57">
        <v>15</v>
      </c>
      <c r="F18" s="57">
        <v>47200</v>
      </c>
      <c r="G18" s="57">
        <v>387</v>
      </c>
    </row>
    <row r="19" spans="2:7" ht="15.75" customHeight="1">
      <c r="B19" s="55" t="s">
        <v>147</v>
      </c>
      <c r="C19" s="56" t="s">
        <v>145</v>
      </c>
      <c r="D19" s="57">
        <v>15</v>
      </c>
      <c r="E19" s="57">
        <v>33</v>
      </c>
      <c r="F19" s="57">
        <v>45300</v>
      </c>
      <c r="G19" s="57">
        <v>402</v>
      </c>
    </row>
    <row r="20" spans="2:7" ht="15.75" customHeight="1">
      <c r="B20" s="55" t="s">
        <v>148</v>
      </c>
      <c r="C20" s="56" t="s">
        <v>145</v>
      </c>
      <c r="D20" s="57">
        <v>29</v>
      </c>
      <c r="E20" s="57">
        <v>85</v>
      </c>
      <c r="F20" s="57">
        <v>117400</v>
      </c>
      <c r="G20" s="57">
        <v>431</v>
      </c>
    </row>
    <row r="21" spans="2:7" ht="15.75" customHeight="1">
      <c r="B21" s="55" t="s">
        <v>149</v>
      </c>
      <c r="C21" s="56" t="s">
        <v>145</v>
      </c>
      <c r="D21" s="57">
        <v>46</v>
      </c>
      <c r="E21" s="57">
        <v>326</v>
      </c>
      <c r="F21" s="57">
        <v>170800</v>
      </c>
      <c r="G21" s="57">
        <v>477</v>
      </c>
    </row>
    <row r="22" spans="2:7" ht="15.75" customHeight="1">
      <c r="B22" s="55" t="s">
        <v>150</v>
      </c>
      <c r="C22" s="56" t="s">
        <v>145</v>
      </c>
      <c r="D22" s="57">
        <v>18</v>
      </c>
      <c r="E22" s="57">
        <v>87</v>
      </c>
      <c r="F22" s="57">
        <v>66600</v>
      </c>
      <c r="G22" s="57">
        <v>495</v>
      </c>
    </row>
    <row r="23" spans="2:7" ht="15.75" customHeight="1">
      <c r="B23" s="55" t="s">
        <v>151</v>
      </c>
      <c r="C23" s="56" t="s">
        <v>145</v>
      </c>
      <c r="D23" s="57">
        <v>28</v>
      </c>
      <c r="E23" s="57">
        <v>62</v>
      </c>
      <c r="F23" s="57">
        <v>100200</v>
      </c>
      <c r="G23" s="57">
        <v>523</v>
      </c>
    </row>
    <row r="24" spans="2:7" ht="15.75" customHeight="1">
      <c r="B24" s="55" t="s">
        <v>152</v>
      </c>
      <c r="C24" s="56" t="s">
        <v>145</v>
      </c>
      <c r="D24" s="57">
        <v>11</v>
      </c>
      <c r="E24" s="57">
        <v>11</v>
      </c>
      <c r="F24" s="57">
        <v>53700</v>
      </c>
      <c r="G24" s="57">
        <v>534</v>
      </c>
    </row>
    <row r="25" spans="2:7" ht="15.75" customHeight="1">
      <c r="B25" s="55" t="s">
        <v>153</v>
      </c>
      <c r="C25" s="56" t="s">
        <v>145</v>
      </c>
      <c r="D25" s="57">
        <v>14</v>
      </c>
      <c r="E25" s="57">
        <v>41</v>
      </c>
      <c r="F25" s="57">
        <v>44800</v>
      </c>
      <c r="G25" s="57">
        <v>548</v>
      </c>
    </row>
    <row r="26" spans="2:7" ht="15.75" customHeight="1">
      <c r="B26" s="55" t="s">
        <v>154</v>
      </c>
      <c r="C26" s="56" t="s">
        <v>145</v>
      </c>
      <c r="D26" s="57">
        <v>16</v>
      </c>
      <c r="E26" s="57">
        <v>69</v>
      </c>
      <c r="F26" s="57">
        <v>52100</v>
      </c>
      <c r="G26" s="57">
        <v>564</v>
      </c>
    </row>
    <row r="27" spans="2:7" ht="15.75" customHeight="1">
      <c r="B27" s="55" t="s">
        <v>155</v>
      </c>
      <c r="C27" s="56" t="s">
        <v>145</v>
      </c>
      <c r="D27" s="57">
        <v>17</v>
      </c>
      <c r="E27" s="57">
        <v>76</v>
      </c>
      <c r="F27" s="57">
        <v>54900</v>
      </c>
      <c r="G27" s="57">
        <v>581</v>
      </c>
    </row>
    <row r="28" spans="2:7" ht="15.75" customHeight="1">
      <c r="B28" s="55" t="s">
        <v>156</v>
      </c>
      <c r="C28" s="56" t="s">
        <v>145</v>
      </c>
      <c r="D28" s="57">
        <v>2</v>
      </c>
      <c r="E28" s="57">
        <v>7</v>
      </c>
      <c r="F28" s="57">
        <v>5800</v>
      </c>
      <c r="G28" s="57">
        <v>583</v>
      </c>
    </row>
    <row r="29" spans="2:7" ht="15.75" customHeight="1">
      <c r="B29" s="55" t="s">
        <v>157</v>
      </c>
      <c r="C29" s="56" t="s">
        <v>145</v>
      </c>
      <c r="D29" s="57">
        <v>11</v>
      </c>
      <c r="E29" s="57">
        <v>38</v>
      </c>
      <c r="F29" s="57">
        <v>38300</v>
      </c>
      <c r="G29" s="57">
        <v>594</v>
      </c>
    </row>
    <row r="30" spans="2:7" ht="15.75" customHeight="1">
      <c r="B30" s="55" t="s">
        <v>158</v>
      </c>
      <c r="C30" s="56" t="s">
        <v>145</v>
      </c>
      <c r="D30" s="57">
        <v>20</v>
      </c>
      <c r="E30" s="57">
        <v>20</v>
      </c>
      <c r="F30" s="57">
        <v>79200</v>
      </c>
      <c r="G30" s="57">
        <v>614</v>
      </c>
    </row>
    <row r="31" spans="2:7" ht="15.75" customHeight="1">
      <c r="B31" s="55" t="s">
        <v>159</v>
      </c>
      <c r="C31" s="56" t="s">
        <v>145</v>
      </c>
      <c r="D31" s="57">
        <v>6</v>
      </c>
      <c r="E31" s="57">
        <v>6</v>
      </c>
      <c r="F31" s="57">
        <v>17500</v>
      </c>
      <c r="G31" s="57">
        <v>620</v>
      </c>
    </row>
    <row r="32" spans="2:7" ht="15.75" customHeight="1">
      <c r="B32" s="55" t="s">
        <v>160</v>
      </c>
      <c r="C32" s="56" t="s">
        <v>145</v>
      </c>
      <c r="D32" s="57">
        <v>9</v>
      </c>
      <c r="E32" s="57">
        <v>13</v>
      </c>
      <c r="F32" s="57">
        <v>25800</v>
      </c>
      <c r="G32" s="57">
        <v>629</v>
      </c>
    </row>
    <row r="33" spans="2:7" ht="15.75" customHeight="1">
      <c r="B33" s="55" t="s">
        <v>161</v>
      </c>
      <c r="C33" s="56" t="s">
        <v>145</v>
      </c>
      <c r="D33" s="57">
        <v>13</v>
      </c>
      <c r="E33" s="57">
        <v>16</v>
      </c>
      <c r="F33" s="57">
        <v>42000</v>
      </c>
      <c r="G33" s="57">
        <v>642</v>
      </c>
    </row>
    <row r="34" spans="2:7" ht="15.75" customHeight="1">
      <c r="B34" s="55" t="s">
        <v>162</v>
      </c>
      <c r="C34" s="56" t="s">
        <v>145</v>
      </c>
      <c r="D34" s="57">
        <v>32</v>
      </c>
      <c r="E34" s="57">
        <v>32</v>
      </c>
      <c r="F34" s="57">
        <v>110500</v>
      </c>
      <c r="G34" s="57">
        <v>674</v>
      </c>
    </row>
    <row r="35" spans="2:7" ht="15.75" customHeight="1">
      <c r="B35" s="55" t="s">
        <v>163</v>
      </c>
      <c r="C35" s="56" t="s">
        <v>145</v>
      </c>
      <c r="D35" s="57">
        <v>8</v>
      </c>
      <c r="E35" s="57">
        <v>8</v>
      </c>
      <c r="F35" s="57">
        <v>23900</v>
      </c>
      <c r="G35" s="57">
        <v>682</v>
      </c>
    </row>
    <row r="36" spans="2:7" ht="15.75" customHeight="1">
      <c r="B36" s="58" t="s">
        <v>164</v>
      </c>
      <c r="C36" s="40" t="s">
        <v>165</v>
      </c>
      <c r="D36" s="42">
        <v>6</v>
      </c>
      <c r="E36" s="42">
        <v>6</v>
      </c>
      <c r="F36" s="42">
        <v>21300</v>
      </c>
      <c r="G36" s="42">
        <v>688</v>
      </c>
    </row>
    <row r="37" spans="2:7" ht="15.75" customHeight="1">
      <c r="B37" s="58" t="s">
        <v>166</v>
      </c>
      <c r="C37" s="40" t="s">
        <v>165</v>
      </c>
      <c r="D37" s="42">
        <v>11</v>
      </c>
      <c r="E37" s="42">
        <v>11</v>
      </c>
      <c r="F37" s="42">
        <v>47700</v>
      </c>
      <c r="G37" s="42">
        <v>699</v>
      </c>
    </row>
    <row r="38" spans="2:7" ht="15.75" customHeight="1">
      <c r="B38" s="58" t="s">
        <v>167</v>
      </c>
      <c r="C38" s="40" t="s">
        <v>165</v>
      </c>
      <c r="D38" s="42">
        <v>10</v>
      </c>
      <c r="E38" s="42">
        <v>10</v>
      </c>
      <c r="F38" s="42">
        <v>31500</v>
      </c>
      <c r="G38" s="42">
        <v>709</v>
      </c>
    </row>
    <row r="39" spans="2:7" ht="15.75" customHeight="1">
      <c r="B39" s="58" t="s">
        <v>168</v>
      </c>
      <c r="C39" s="40" t="s">
        <v>165</v>
      </c>
      <c r="D39" s="42">
        <v>22</v>
      </c>
      <c r="E39" s="42">
        <v>97</v>
      </c>
      <c r="F39" s="42">
        <v>70800</v>
      </c>
      <c r="G39" s="42">
        <v>731</v>
      </c>
    </row>
    <row r="40" spans="2:7" ht="15.75" customHeight="1">
      <c r="B40" s="58" t="s">
        <v>169</v>
      </c>
      <c r="C40" s="40" t="s">
        <v>165</v>
      </c>
      <c r="D40" s="42">
        <v>11</v>
      </c>
      <c r="E40" s="42">
        <v>42</v>
      </c>
      <c r="F40" s="42">
        <v>31000</v>
      </c>
      <c r="G40" s="42">
        <v>742</v>
      </c>
    </row>
    <row r="41" spans="2:7" ht="15.75" customHeight="1">
      <c r="B41" s="58" t="s">
        <v>170</v>
      </c>
      <c r="C41" s="40" t="s">
        <v>165</v>
      </c>
      <c r="D41" s="42">
        <v>6</v>
      </c>
      <c r="E41" s="42">
        <v>6</v>
      </c>
      <c r="F41" s="42">
        <v>23000</v>
      </c>
      <c r="G41" s="42">
        <v>748</v>
      </c>
    </row>
    <row r="42" spans="2:7" ht="15.75" customHeight="1">
      <c r="B42" s="58" t="s">
        <v>171</v>
      </c>
      <c r="C42" s="40" t="s">
        <v>165</v>
      </c>
      <c r="D42" s="42">
        <v>19</v>
      </c>
      <c r="E42" s="42">
        <v>30</v>
      </c>
      <c r="F42" s="42">
        <v>77900</v>
      </c>
      <c r="G42" s="42">
        <v>767</v>
      </c>
    </row>
    <row r="43" spans="2:7" ht="15.75" customHeight="1">
      <c r="B43" s="58" t="s">
        <v>172</v>
      </c>
      <c r="C43" s="40" t="s">
        <v>165</v>
      </c>
      <c r="D43" s="42">
        <v>7</v>
      </c>
      <c r="E43" s="42">
        <v>7</v>
      </c>
      <c r="F43" s="42">
        <v>30200</v>
      </c>
      <c r="G43" s="42">
        <v>774</v>
      </c>
    </row>
    <row r="44" spans="2:7" ht="15.75" customHeight="1">
      <c r="B44" s="58" t="s">
        <v>173</v>
      </c>
      <c r="C44" s="40" t="s">
        <v>165</v>
      </c>
      <c r="D44" s="42">
        <v>7</v>
      </c>
      <c r="E44" s="42">
        <v>55</v>
      </c>
      <c r="F44" s="42">
        <v>26600</v>
      </c>
      <c r="G44" s="42">
        <v>781</v>
      </c>
    </row>
    <row r="45" spans="2:7" ht="15.75" customHeight="1">
      <c r="B45" s="58" t="s">
        <v>174</v>
      </c>
      <c r="C45" s="40" t="s">
        <v>165</v>
      </c>
      <c r="D45" s="42">
        <v>46</v>
      </c>
      <c r="E45" s="42">
        <v>72</v>
      </c>
      <c r="F45" s="42">
        <v>154500</v>
      </c>
      <c r="G45" s="42">
        <v>827</v>
      </c>
    </row>
    <row r="46" spans="2:7" ht="15.75" customHeight="1">
      <c r="B46" s="58" t="s">
        <v>175</v>
      </c>
      <c r="C46" s="40" t="s">
        <v>165</v>
      </c>
      <c r="D46" s="42">
        <v>24</v>
      </c>
      <c r="E46" s="42">
        <v>54</v>
      </c>
      <c r="F46" s="42">
        <v>205300</v>
      </c>
      <c r="G46" s="42">
        <v>851</v>
      </c>
    </row>
    <row r="47" spans="2:7" ht="15.75" customHeight="1">
      <c r="B47" s="52" t="s">
        <v>176</v>
      </c>
      <c r="C47" s="53" t="s">
        <v>177</v>
      </c>
      <c r="D47" s="54">
        <v>53</v>
      </c>
      <c r="E47" s="54">
        <v>82</v>
      </c>
      <c r="F47" s="54">
        <v>275200</v>
      </c>
      <c r="G47" s="54">
        <v>904</v>
      </c>
    </row>
    <row r="48" spans="2:7" ht="15.75" customHeight="1">
      <c r="B48" s="58" t="s">
        <v>178</v>
      </c>
      <c r="C48" s="40" t="s">
        <v>165</v>
      </c>
      <c r="D48" s="42">
        <v>31</v>
      </c>
      <c r="E48" s="42">
        <v>41</v>
      </c>
      <c r="F48" s="42">
        <v>123600</v>
      </c>
      <c r="G48" s="42">
        <v>935</v>
      </c>
    </row>
    <row r="51" spans="2:2">
      <c r="B51" s="59" t="s">
        <v>179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9"/>
  <sheetViews>
    <sheetView showGridLines="0" zoomScaleNormal="100" workbookViewId="0"/>
  </sheetViews>
  <sheetFormatPr defaultColWidth="8.7109375" defaultRowHeight="15" customHeight="1"/>
  <cols>
    <col min="1" max="1" width="2" customWidth="1"/>
    <col min="2" max="2" width="6" customWidth="1"/>
    <col min="3" max="3" width="20" customWidth="1"/>
    <col min="4" max="5" width="14" customWidth="1"/>
    <col min="6" max="6" width="10" customWidth="1"/>
    <col min="7" max="7" width="14" customWidth="1"/>
    <col min="8" max="8" width="16" customWidth="1"/>
  </cols>
  <sheetData>
    <row r="2" spans="2:8" ht="31.5" customHeight="1">
      <c r="B2" s="73" t="s">
        <v>180</v>
      </c>
      <c r="C2" s="73"/>
      <c r="D2" s="73"/>
      <c r="E2" s="73"/>
      <c r="F2" s="73"/>
      <c r="G2" s="73"/>
      <c r="H2" s="73"/>
    </row>
    <row r="4" spans="2:8" ht="24" customHeight="1">
      <c r="B4" s="16" t="s">
        <v>181</v>
      </c>
      <c r="C4" s="15" t="s">
        <v>182</v>
      </c>
      <c r="D4" s="15" t="s">
        <v>183</v>
      </c>
      <c r="E4" s="15" t="s">
        <v>184</v>
      </c>
      <c r="F4" s="15" t="s">
        <v>17</v>
      </c>
      <c r="G4" s="15" t="s">
        <v>19</v>
      </c>
      <c r="H4" s="15" t="s">
        <v>185</v>
      </c>
    </row>
    <row r="5" spans="2:8" ht="18" customHeight="1">
      <c r="B5" s="51">
        <v>1</v>
      </c>
      <c r="C5" s="33" t="s">
        <v>22</v>
      </c>
      <c r="D5" s="21" t="s">
        <v>186</v>
      </c>
      <c r="E5" s="21" t="s">
        <v>187</v>
      </c>
      <c r="F5" s="18">
        <v>320</v>
      </c>
      <c r="G5" s="18">
        <v>1044480</v>
      </c>
      <c r="H5" s="50"/>
    </row>
    <row r="6" spans="2:8" ht="18" customHeight="1">
      <c r="B6" s="26">
        <v>2</v>
      </c>
      <c r="C6" s="34" t="s">
        <v>25</v>
      </c>
      <c r="D6" s="26" t="s">
        <v>188</v>
      </c>
      <c r="E6" s="26" t="s">
        <v>187</v>
      </c>
      <c r="F6" s="23">
        <v>198</v>
      </c>
      <c r="G6" s="23">
        <v>1150409</v>
      </c>
      <c r="H6" s="34"/>
    </row>
    <row r="7" spans="2:8" ht="18" customHeight="1">
      <c r="B7" s="51">
        <v>3</v>
      </c>
      <c r="C7" s="33" t="s">
        <v>32</v>
      </c>
      <c r="D7" s="21" t="s">
        <v>188</v>
      </c>
      <c r="E7" s="21" t="s">
        <v>187</v>
      </c>
      <c r="F7" s="18">
        <v>66</v>
      </c>
      <c r="G7" s="18">
        <v>247000</v>
      </c>
      <c r="H7" s="50"/>
    </row>
    <row r="8" spans="2:8" ht="18" customHeight="1">
      <c r="B8" s="26">
        <v>4</v>
      </c>
      <c r="C8" s="34" t="s">
        <v>30</v>
      </c>
      <c r="D8" s="26" t="s">
        <v>186</v>
      </c>
      <c r="E8" s="26" t="s">
        <v>187</v>
      </c>
      <c r="F8" s="23">
        <v>68</v>
      </c>
      <c r="G8" s="23">
        <v>196400</v>
      </c>
      <c r="H8" s="34"/>
    </row>
    <row r="9" spans="2:8" ht="18" customHeight="1">
      <c r="B9" s="51">
        <v>5</v>
      </c>
      <c r="C9" s="33" t="s">
        <v>46</v>
      </c>
      <c r="D9" s="21" t="s">
        <v>186</v>
      </c>
      <c r="E9" s="21" t="s">
        <v>187</v>
      </c>
      <c r="F9" s="18">
        <v>1</v>
      </c>
      <c r="G9" s="18">
        <v>4500</v>
      </c>
      <c r="H9" s="50"/>
    </row>
    <row r="10" spans="2:8" ht="18" customHeight="1">
      <c r="B10" s="60">
        <v>6</v>
      </c>
      <c r="C10" s="61" t="s">
        <v>38</v>
      </c>
      <c r="D10" s="62" t="s">
        <v>186</v>
      </c>
      <c r="E10" s="62" t="s">
        <v>189</v>
      </c>
      <c r="F10" s="63">
        <v>21</v>
      </c>
      <c r="G10" s="63">
        <v>67700</v>
      </c>
      <c r="H10" s="61" t="s">
        <v>190</v>
      </c>
    </row>
    <row r="11" spans="2:8" ht="18" customHeight="1">
      <c r="B11" s="51">
        <v>7</v>
      </c>
      <c r="C11" s="33" t="s">
        <v>34</v>
      </c>
      <c r="D11" s="21" t="s">
        <v>186</v>
      </c>
      <c r="E11" s="21" t="s">
        <v>187</v>
      </c>
      <c r="F11" s="18">
        <v>61</v>
      </c>
      <c r="G11" s="18">
        <v>284508</v>
      </c>
      <c r="H11" s="50"/>
    </row>
    <row r="12" spans="2:8" ht="18" customHeight="1">
      <c r="B12" s="26">
        <v>8</v>
      </c>
      <c r="C12" s="34" t="s">
        <v>42</v>
      </c>
      <c r="D12" s="26" t="s">
        <v>186</v>
      </c>
      <c r="E12" s="26" t="s">
        <v>187</v>
      </c>
      <c r="F12" s="23">
        <v>13</v>
      </c>
      <c r="G12" s="23">
        <v>47600</v>
      </c>
      <c r="H12" s="34"/>
    </row>
    <row r="13" spans="2:8" ht="18" customHeight="1">
      <c r="B13" s="51">
        <v>9</v>
      </c>
      <c r="C13" s="33" t="s">
        <v>28</v>
      </c>
      <c r="D13" s="21" t="s">
        <v>188</v>
      </c>
      <c r="E13" s="21" t="s">
        <v>187</v>
      </c>
      <c r="F13" s="18">
        <v>102</v>
      </c>
      <c r="G13" s="18">
        <v>402600</v>
      </c>
      <c r="H13" s="50"/>
    </row>
    <row r="14" spans="2:8" ht="18" customHeight="1">
      <c r="B14" s="26">
        <v>10</v>
      </c>
      <c r="C14" s="34" t="s">
        <v>191</v>
      </c>
      <c r="D14" s="26" t="s">
        <v>186</v>
      </c>
      <c r="E14" s="26" t="s">
        <v>187</v>
      </c>
      <c r="F14" s="23">
        <v>0</v>
      </c>
      <c r="G14" s="23">
        <v>0</v>
      </c>
      <c r="H14" s="34" t="s">
        <v>192</v>
      </c>
    </row>
    <row r="15" spans="2:8" ht="18" customHeight="1">
      <c r="B15" s="51">
        <v>11</v>
      </c>
      <c r="C15" s="33" t="s">
        <v>193</v>
      </c>
      <c r="D15" s="21" t="s">
        <v>188</v>
      </c>
      <c r="E15" s="21" t="s">
        <v>187</v>
      </c>
      <c r="F15" s="18">
        <v>0</v>
      </c>
      <c r="G15" s="18">
        <v>0</v>
      </c>
      <c r="H15" s="33" t="s">
        <v>192</v>
      </c>
    </row>
    <row r="16" spans="2:8" ht="18" customHeight="1">
      <c r="B16" s="26">
        <v>12</v>
      </c>
      <c r="C16" s="34" t="s">
        <v>194</v>
      </c>
      <c r="D16" s="26" t="s">
        <v>186</v>
      </c>
      <c r="E16" s="26" t="s">
        <v>187</v>
      </c>
      <c r="F16" s="23">
        <v>0</v>
      </c>
      <c r="G16" s="23">
        <v>0</v>
      </c>
      <c r="H16" s="34" t="s">
        <v>192</v>
      </c>
    </row>
    <row r="17" spans="2:8" ht="18" customHeight="1">
      <c r="B17" s="51">
        <v>13</v>
      </c>
      <c r="C17" s="33" t="s">
        <v>36</v>
      </c>
      <c r="D17" s="21" t="s">
        <v>188</v>
      </c>
      <c r="E17" s="21" t="s">
        <v>187</v>
      </c>
      <c r="F17" s="18">
        <v>56</v>
      </c>
      <c r="G17" s="18">
        <v>166700</v>
      </c>
      <c r="H17" s="50"/>
    </row>
    <row r="18" spans="2:8" ht="18" customHeight="1">
      <c r="B18" s="26">
        <v>14</v>
      </c>
      <c r="C18" s="34" t="s">
        <v>76</v>
      </c>
      <c r="D18" s="26" t="s">
        <v>186</v>
      </c>
      <c r="E18" s="26" t="s">
        <v>187</v>
      </c>
      <c r="F18" s="23">
        <v>9</v>
      </c>
      <c r="G18" s="23">
        <v>50900</v>
      </c>
      <c r="H18" s="34"/>
    </row>
    <row r="19" spans="2:8" ht="18" customHeight="1">
      <c r="B19" s="51">
        <v>15</v>
      </c>
      <c r="C19" s="33" t="s">
        <v>40</v>
      </c>
      <c r="D19" s="21" t="s">
        <v>186</v>
      </c>
      <c r="E19" s="21" t="s">
        <v>187</v>
      </c>
      <c r="F19" s="18">
        <v>20</v>
      </c>
      <c r="G19" s="18">
        <v>56300</v>
      </c>
      <c r="H19" s="50"/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📊 대시보드</vt:lpstr>
      <vt:lpstr>📈 월별·사유별 추이</vt:lpstr>
      <vt:lpstr>🏭 센터별 분석</vt:lpstr>
      <vt:lpstr>📅 일별 추이</vt:lpstr>
      <vt:lpstr>⚙️ 사유 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LIM</cp:lastModifiedBy>
  <cp:revision>1</cp:revision>
  <dcterms:created xsi:type="dcterms:W3CDTF">2026-02-27T05:37:09Z</dcterms:created>
  <dcterms:modified xsi:type="dcterms:W3CDTF">2026-02-27T05:42:35Z</dcterms:modified>
  <dc:language>en-US</dc:language>
</cp:coreProperties>
</file>